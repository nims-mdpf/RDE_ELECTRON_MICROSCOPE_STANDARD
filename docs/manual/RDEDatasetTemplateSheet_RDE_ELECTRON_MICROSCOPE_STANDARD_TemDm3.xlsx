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ELECTRON_MICROSCOPE_STANDARD/templates/template_TemDm3/"/>
    </mc:Choice>
  </mc:AlternateContent>
  <xr:revisionPtr revIDLastSave="0" documentId="13_ncr:1_{666A076E-C982-274A-8C1C-0C8E631BCB9D}" xr6:coauthVersionLast="47" xr6:coauthVersionMax="47" xr10:uidLastSave="{00000000-0000-0000-0000-000000000000}"/>
  <bookViews>
    <workbookView xWindow="37740" yWindow="112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6" l="1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N8" i="8"/>
  <c r="O8" i="8"/>
  <c r="N9" i="8"/>
  <c r="O9" i="8"/>
  <c r="N10" i="8"/>
  <c r="O10" i="8"/>
  <c r="N11" i="8"/>
  <c r="O11" i="8"/>
  <c r="N12" i="8"/>
  <c r="O12" i="8"/>
  <c r="N13" i="8"/>
  <c r="O13" i="8"/>
  <c r="N14" i="8"/>
  <c r="O14" i="8"/>
  <c r="N15" i="8"/>
  <c r="O15" i="8"/>
  <c r="N16" i="8"/>
  <c r="O16" i="8"/>
  <c r="N17" i="8"/>
  <c r="O17" i="8"/>
  <c r="N18" i="8"/>
  <c r="O18" i="8"/>
  <c r="N19" i="8"/>
  <c r="O19" i="8"/>
  <c r="N20" i="8"/>
  <c r="O20" i="8"/>
  <c r="N21" i="8"/>
  <c r="O21" i="8"/>
  <c r="N22" i="8"/>
  <c r="O22" i="8"/>
  <c r="N23" i="8"/>
  <c r="O23" i="8"/>
  <c r="N24" i="8"/>
  <c r="O24" i="8"/>
  <c r="N25" i="8"/>
  <c r="O25" i="8"/>
  <c r="N26" i="8"/>
  <c r="O26" i="8"/>
  <c r="N27" i="8"/>
  <c r="O27" i="8"/>
  <c r="N28" i="8"/>
  <c r="O28" i="8"/>
  <c r="N29" i="8"/>
  <c r="O29" i="8"/>
  <c r="N30" i="8"/>
  <c r="O30" i="8"/>
  <c r="N31" i="8"/>
  <c r="O31" i="8"/>
  <c r="N32" i="8"/>
  <c r="O32" i="8"/>
  <c r="N33" i="8"/>
  <c r="O33" i="8"/>
  <c r="N34" i="8"/>
  <c r="O34" i="8"/>
  <c r="N35" i="8"/>
  <c r="O35" i="8"/>
  <c r="N36" i="8"/>
  <c r="O36" i="8"/>
  <c r="N37" i="8"/>
  <c r="O37" i="8"/>
  <c r="N38" i="8"/>
  <c r="O38" i="8"/>
  <c r="N39" i="8"/>
  <c r="O39" i="8"/>
  <c r="N40" i="8"/>
  <c r="O40" i="8"/>
  <c r="N41" i="8"/>
  <c r="O41" i="8"/>
  <c r="N42" i="8"/>
  <c r="O42" i="8"/>
  <c r="N43" i="8"/>
  <c r="O43" i="8"/>
  <c r="P43" i="8"/>
  <c r="K4" i="6"/>
  <c r="K174" i="6"/>
  <c r="K3" i="6"/>
  <c r="B3" i="7"/>
  <c r="B3" i="8"/>
  <c r="B5" i="7"/>
  <c r="B4" i="7"/>
  <c r="B2" i="7"/>
  <c r="B2" i="8"/>
  <c r="C2" i="10"/>
  <c r="V59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51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174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55" i="8" l="1"/>
  <c r="F53" i="8"/>
  <c r="G52" i="8"/>
  <c r="U59" i="8"/>
  <c r="V58" i="8"/>
  <c r="D54" i="8"/>
  <c r="F52" i="8"/>
  <c r="U58" i="8"/>
  <c r="V57" i="8"/>
  <c r="D53" i="8"/>
  <c r="G51" i="8"/>
  <c r="U57" i="8"/>
  <c r="V56" i="8"/>
  <c r="D52" i="8"/>
  <c r="F51" i="8"/>
  <c r="G59" i="8"/>
  <c r="U56" i="8"/>
  <c r="V55" i="8"/>
  <c r="L2" i="12"/>
  <c r="F59" i="8"/>
  <c r="G58" i="8"/>
  <c r="U55" i="8"/>
  <c r="V54" i="8"/>
  <c r="L36" i="12"/>
  <c r="D51" i="8"/>
  <c r="F58" i="8"/>
  <c r="G57" i="8"/>
  <c r="U54" i="8"/>
  <c r="V53" i="8"/>
  <c r="D59" i="8"/>
  <c r="F57" i="8"/>
  <c r="G56" i="8"/>
  <c r="U53" i="8"/>
  <c r="V52" i="8"/>
  <c r="D58" i="8"/>
  <c r="F56" i="8"/>
  <c r="G55" i="8"/>
  <c r="U52" i="8"/>
  <c r="D57" i="8"/>
  <c r="F55" i="8"/>
  <c r="G54" i="8"/>
  <c r="D56" i="8"/>
  <c r="F54" i="8"/>
  <c r="G53" i="8"/>
  <c r="U51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66" i="8" l="1"/>
  <c r="U67" i="8"/>
  <c r="F61" i="8"/>
  <c r="D64" i="8"/>
  <c r="V67" i="8"/>
  <c r="U68" i="8"/>
  <c r="G61" i="8"/>
  <c r="F62" i="8"/>
  <c r="D65" i="8"/>
  <c r="V68" i="8"/>
  <c r="U60" i="8"/>
  <c r="G62" i="8"/>
  <c r="F63" i="8"/>
  <c r="D66" i="8"/>
  <c r="V60" i="8"/>
  <c r="G63" i="8"/>
  <c r="F64" i="8"/>
  <c r="D67" i="8"/>
  <c r="U61" i="8"/>
  <c r="G64" i="8"/>
  <c r="F65" i="8"/>
  <c r="D68" i="8"/>
  <c r="V61" i="8"/>
  <c r="U62" i="8"/>
  <c r="G65" i="8"/>
  <c r="F66" i="8"/>
  <c r="D60" i="8"/>
  <c r="V62" i="8"/>
  <c r="U63" i="8"/>
  <c r="G66" i="8"/>
  <c r="F67" i="8"/>
  <c r="V63" i="8"/>
  <c r="U64" i="8"/>
  <c r="G67" i="8"/>
  <c r="F68" i="8"/>
  <c r="D61" i="8"/>
  <c r="V64" i="8"/>
  <c r="U65" i="8"/>
  <c r="G68" i="8"/>
  <c r="F60" i="8"/>
  <c r="D62" i="8"/>
  <c r="V65" i="8"/>
  <c r="U66" i="8"/>
  <c r="G60" i="8"/>
  <c r="D63" i="8"/>
</calcChain>
</file>

<file path=xl/sharedStrings.xml><?xml version="1.0" encoding="utf-8"?>
<sst xmlns="http://schemas.openxmlformats.org/spreadsheetml/2006/main" count="3792" uniqueCount="1977">
  <si>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</si>
  <si>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</si>
  <si>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</si>
  <si>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</si>
  <si>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</si>
  <si>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</si>
  <si>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</si>
  <si>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</si>
  <si>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</si>
  <si>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</si>
  <si>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</si>
  <si>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</si>
  <si>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</si>
  <si>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</si>
  <si>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</si>
  <si>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</si>
  <si>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</si>
  <si>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</si>
  <si>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</si>
  <si>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</si>
  <si>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</si>
  <si>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</si>
  <si>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</si>
  <si>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</si>
  <si>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</si>
  <si>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</si>
  <si>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</si>
  <si>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</si>
  <si>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</si>
  <si>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</si>
  <si>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</si>
  <si>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</si>
  <si>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</si>
  <si>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</si>
  <si>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</si>
  <si>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</si>
  <si>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</si>
  <si>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</si>
  <si>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</si>
  <si>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</si>
  <si>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</si>
  <si>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</si>
  <si>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</si>
  <si>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</si>
  <si>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</si>
  <si>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</si>
  <si>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</si>
  <si>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</si>
  <si>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</si>
  <si>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</si>
  <si>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</si>
  <si>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</si>
  <si>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</si>
  <si>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</si>
  <si>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</si>
  <si>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</si>
  <si>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</si>
  <si>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</si>
  <si>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</si>
  <si>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</si>
  <si>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</si>
  <si>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</si>
  <si>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</si>
  <si>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</si>
  <si>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</si>
  <si>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</si>
  <si>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</si>
  <si>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</si>
  <si>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</si>
  <si>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</si>
  <si>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</si>
  <si>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</si>
  <si>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</si>
  <si>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</si>
  <si>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</si>
  <si>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</si>
  <si>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</si>
  <si>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</si>
  <si>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</si>
  <si>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</si>
  <si>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</si>
  <si>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</si>
  <si>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</si>
  <si>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</si>
  <si>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</si>
  <si>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</si>
  <si>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</si>
  <si>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</si>
  <si>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</si>
  <si>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</si>
  <si>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</si>
  <si>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</si>
  <si>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</si>
  <si>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</si>
  <si>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</si>
  <si>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</si>
  <si>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</si>
  <si>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</si>
  <si>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</si>
  <si>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</si>
  <si>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</si>
  <si>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</si>
  <si>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</si>
  <si>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</si>
  <si>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</si>
  <si>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</si>
  <si>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</si>
  <si>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</si>
  <si>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</si>
  <si>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</si>
  <si>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</si>
  <si>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</si>
  <si>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</si>
  <si>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</si>
  <si>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</si>
  <si>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</si>
  <si>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</si>
  <si>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</si>
  <si>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</si>
  <si>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</si>
  <si>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</si>
  <si>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</si>
  <si>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</si>
  <si>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</si>
  <si>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</si>
  <si>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</si>
  <si>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</si>
  <si>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</si>
  <si>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</si>
  <si>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</si>
  <si>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</si>
  <si>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</si>
  <si>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</si>
  <si>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</si>
  <si>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</si>
  <si>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</si>
  <si>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</si>
  <si>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</si>
  <si>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</si>
  <si>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</si>
  <si>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</si>
  <si>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</si>
  <si>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</si>
  <si>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</si>
  <si>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</si>
  <si>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</si>
  <si>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</si>
  <si>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</si>
  <si>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</si>
  <si>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</si>
  <si>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</si>
  <si>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</si>
  <si>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</si>
  <si>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</si>
  <si>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</si>
  <si>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</si>
  <si>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</si>
  <si>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</si>
  <si>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</si>
  <si>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</si>
  <si>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</si>
  <si>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</si>
  <si>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</si>
  <si>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</si>
  <si>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</si>
  <si>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</si>
  <si>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</si>
  <si>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</si>
  <si>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</si>
  <si>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</si>
  <si>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</si>
  <si>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</si>
  <si>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</si>
  <si>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</si>
  <si>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</si>
  <si>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</si>
  <si>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</si>
  <si>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</si>
  <si>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</si>
  <si>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</si>
  <si>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</si>
  <si>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</si>
  <si>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</si>
  <si>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</si>
  <si>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</si>
  <si>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</si>
  <si>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</si>
  <si>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</si>
  <si>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</si>
  <si>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</si>
  <si>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</si>
  <si>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</si>
  <si>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</si>
  <si>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</si>
  <si>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</si>
  <si>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</si>
  <si>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</si>
  <si>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</si>
  <si>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</si>
  <si>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</si>
  <si>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</si>
  <si>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</si>
  <si>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</si>
  <si>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</si>
  <si>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</si>
  <si>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</si>
  <si>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</si>
  <si>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</si>
  <si>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</si>
  <si>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</si>
  <si>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</si>
  <si>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</si>
  <si>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</si>
  <si>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</si>
  <si>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</si>
  <si>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</si>
  <si>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</si>
  <si>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</si>
  <si>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</si>
  <si>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</si>
  <si>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</si>
  <si>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</si>
  <si>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</si>
  <si>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</si>
  <si>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</si>
  <si>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</si>
  <si>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</si>
  <si>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</si>
  <si>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</si>
  <si>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</si>
  <si>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</si>
  <si>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</si>
  <si>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</si>
  <si>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</si>
  <si>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</si>
  <si>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</si>
  <si>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</si>
  <si>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</si>
  <si>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</si>
  <si>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</si>
  <si>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</si>
  <si>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</si>
  <si>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</si>
  <si>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</si>
  <si>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</si>
  <si>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</si>
  <si>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</si>
  <si>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</si>
  <si>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</si>
  <si>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</si>
  <si>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</si>
  <si>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</si>
  <si>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</si>
  <si>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</si>
  <si>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</si>
  <si>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</si>
  <si>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</si>
  <si>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</si>
  <si>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</si>
  <si>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</si>
  <si>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</si>
  <si>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</si>
  <si>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</si>
  <si>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</si>
  <si>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</si>
  <si>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</si>
  <si>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</si>
  <si>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</si>
  <si>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</si>
  <si>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</si>
  <si>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</si>
  <si>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</si>
  <si>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</si>
  <si>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</si>
  <si>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</si>
  <si>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</si>
  <si>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</si>
  <si>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</si>
  <si>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</si>
  <si>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</si>
  <si>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</si>
  <si>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</si>
  <si>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</si>
  <si>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</si>
  <si>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</si>
  <si>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</si>
  <si>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</si>
  <si>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</si>
  <si>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</si>
  <si>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</si>
  <si>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</si>
  <si>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</si>
  <si>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</si>
  <si>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</si>
  <si>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</si>
  <si>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</si>
  <si>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</si>
  <si>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</si>
  <si>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</si>
  <si>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</si>
  <si>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</si>
  <si>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</si>
  <si>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</si>
  <si>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</si>
  <si>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</si>
  <si>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</si>
  <si>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</si>
  <si>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</si>
  <si>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</si>
  <si>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</si>
  <si>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</si>
  <si>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</si>
  <si>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</si>
  <si>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</si>
  <si>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</si>
  <si>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</si>
  <si>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</si>
  <si>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</si>
  <si>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</si>
  <si>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</si>
  <si>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</si>
  <si>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</si>
  <si>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</si>
  <si>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</si>
  <si>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</si>
  <si>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</si>
  <si>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</si>
  <si>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</si>
  <si>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</si>
  <si>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</si>
  <si>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</si>
  <si>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</si>
  <si>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</si>
  <si>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</si>
  <si>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</si>
  <si>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</si>
  <si>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</si>
  <si>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</si>
  <si>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</si>
  <si>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</si>
  <si>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</si>
  <si>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</si>
  <si>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</si>
  <si>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</si>
  <si>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</si>
  <si>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</si>
  <si>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</si>
  <si>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</si>
  <si>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</si>
  <si>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</si>
  <si>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</si>
  <si>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</si>
  <si>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</si>
  <si>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</si>
  <si>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</si>
  <si>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</si>
  <si>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</si>
  <si>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</si>
  <si>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</si>
  <si>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</si>
  <si>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</si>
  <si>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</si>
  <si>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</si>
  <si>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</si>
  <si>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</si>
  <si>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</si>
  <si>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</si>
  <si>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</si>
  <si>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</si>
  <si>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</si>
  <si>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</si>
  <si>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</si>
  <si>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</si>
  <si>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</si>
  <si>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</si>
  <si>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</si>
  <si>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</si>
  <si>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</si>
  <si>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</si>
  <si>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</si>
  <si>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</si>
  <si>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</si>
  <si>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</si>
  <si>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</si>
  <si>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</si>
  <si>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</si>
  <si>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</si>
  <si>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</si>
  <si>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</si>
  <si>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</si>
  <si>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</si>
  <si>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</si>
  <si>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</si>
  <si>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</si>
  <si>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</si>
  <si>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</si>
  <si>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</si>
  <si>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</si>
  <si>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</si>
  <si>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</si>
  <si>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</si>
  <si>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</si>
  <si>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</si>
  <si>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</si>
  <si>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</si>
  <si>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</si>
  <si>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</si>
  <si>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</si>
  <si>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</si>
  <si>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</si>
  <si>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</si>
  <si>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</si>
  <si>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</si>
  <si>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</si>
  <si>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</si>
  <si>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</si>
  <si>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</si>
  <si>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</si>
  <si>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</si>
  <si>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</si>
  <si>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</si>
  <si>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</si>
  <si>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</si>
  <si>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</si>
  <si>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</si>
  <si>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</si>
  <si>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</si>
  <si>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</si>
  <si>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</si>
  <si>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</si>
  <si>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</si>
  <si>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</si>
  <si>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</si>
  <si>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</si>
  <si>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</si>
  <si>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</si>
  <si>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</si>
  <si>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</si>
  <si>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</si>
  <si>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</si>
  <si>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</si>
  <si>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</si>
  <si>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</si>
  <si>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</si>
  <si>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</si>
  <si>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</si>
  <si>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</si>
  <si>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</si>
  <si>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</si>
  <si>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</si>
  <si>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</si>
  <si>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</si>
  <si>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</si>
  <si>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</si>
  <si>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</si>
  <si>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</si>
  <si>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</si>
  <si>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</si>
  <si>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</si>
  <si>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</si>
  <si>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</si>
  <si>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</si>
  <si>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</si>
  <si>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</si>
  <si>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</si>
  <si>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</si>
  <si>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</si>
  <si>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</si>
  <si>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</si>
  <si>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</si>
  <si>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</si>
  <si>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</si>
  <si>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</si>
  <si>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</si>
  <si>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</si>
  <si>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</si>
  <si>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</si>
  <si>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</si>
  <si>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</si>
  <si>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</si>
  <si>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</si>
  <si>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</si>
  <si>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</si>
  <si>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</si>
  <si>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</si>
  <si>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</si>
  <si>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</si>
  <si>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</si>
  <si>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</si>
  <si>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</si>
  <si>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</si>
  <si>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</si>
  <si>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</si>
  <si>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</si>
  <si>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</si>
  <si>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</si>
  <si>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</si>
  <si>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</si>
  <si>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</si>
  <si>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</si>
  <si>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</si>
  <si>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</si>
  <si>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</si>
  <si>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</si>
  <si>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</si>
  <si>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</si>
  <si>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</si>
  <si>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</si>
  <si>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</si>
  <si>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</si>
  <si>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</si>
  <si>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</si>
  <si>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</si>
  <si>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</si>
  <si>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</si>
  <si>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</si>
  <si>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</si>
  <si>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</si>
  <si>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</si>
  <si>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</si>
  <si>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</si>
  <si>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</si>
  <si>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</si>
  <si>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</si>
  <si>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</si>
  <si>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</si>
  <si>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</si>
  <si>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</si>
  <si>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</si>
  <si>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</si>
  <si>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</si>
  <si>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</si>
  <si>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</si>
  <si>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</si>
  <si>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</si>
  <si>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</si>
  <si>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</si>
  <si>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</si>
  <si>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</si>
  <si>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</si>
  <si>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</si>
  <si>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</si>
  <si>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</si>
  <si>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</si>
  <si>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</si>
  <si>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</si>
  <si>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</si>
  <si>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</si>
  <si>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</si>
  <si>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</si>
  <si>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</si>
  <si>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</si>
  <si>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</si>
  <si>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</si>
  <si>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</si>
  <si>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</si>
  <si>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</si>
  <si>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</si>
  <si>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</si>
  <si>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</si>
  <si>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</si>
  <si>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</si>
  <si>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</si>
  <si>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</si>
  <si>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</si>
  <si>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</si>
  <si>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</si>
  <si>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</si>
  <si>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</si>
  <si>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</si>
  <si>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</si>
  <si>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</si>
  <si>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</si>
  <si>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</si>
  <si>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</si>
  <si>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</si>
  <si>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</si>
  <si>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</si>
  <si>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</si>
  <si>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</si>
  <si>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</si>
  <si>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</si>
  <si>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</si>
  <si>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</si>
  <si>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</si>
  <si>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</si>
  <si>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</si>
  <si>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</si>
  <si>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</si>
  <si>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</si>
  <si>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</si>
  <si>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</si>
  <si>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</si>
  <si>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</si>
  <si>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</si>
  <si>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</si>
  <si>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</si>
  <si>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</si>
  <si>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</si>
  <si>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</si>
  <si>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</si>
  <si>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</si>
  <si>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</si>
  <si>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</si>
  <si>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</si>
  <si>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</si>
  <si>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</si>
  <si>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</si>
  <si>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</si>
  <si>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</si>
  <si>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</si>
  <si>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</si>
  <si>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</si>
  <si>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</si>
  <si>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</si>
  <si>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</si>
  <si>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</si>
  <si>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</si>
  <si>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</si>
  <si>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</si>
  <si>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</si>
  <si>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</si>
  <si>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</si>
  <si>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</si>
  <si>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</si>
  <si>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</si>
  <si>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</si>
  <si>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</si>
  <si>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</si>
  <si>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</si>
  <si>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</si>
  <si>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</si>
  <si>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</si>
  <si>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</si>
  <si>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</si>
  <si>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</si>
  <si>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</si>
  <si>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</si>
  <si>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</si>
  <si>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</si>
  <si>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</si>
  <si>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</si>
  <si>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</si>
  <si>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</si>
  <si>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</si>
  <si>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</si>
  <si>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</si>
  <si>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</si>
  <si>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</si>
  <si>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</si>
  <si>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</si>
  <si>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</si>
  <si>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</si>
  <si>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</si>
  <si>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</si>
  <si>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</si>
  <si>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</si>
  <si>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</si>
  <si>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</si>
  <si>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</si>
  <si>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</si>
  <si>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</si>
  <si>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</si>
  <si>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</si>
  <si>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</si>
  <si>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</si>
  <si>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</si>
  <si>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</si>
  <si>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</si>
  <si>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</si>
  <si>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</si>
  <si>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</si>
  <si>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</si>
  <si>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</si>
  <si>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</si>
  <si>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</si>
  <si>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</si>
  <si>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</si>
  <si>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</si>
  <si>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</si>
  <si>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</si>
  <si>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</si>
  <si>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</si>
  <si>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</si>
  <si>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</si>
  <si>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</si>
  <si>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</si>
  <si>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</si>
  <si>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</si>
  <si>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</si>
  <si>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</si>
  <si>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</si>
  <si>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</si>
  <si>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</si>
  <si>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</si>
  <si>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</si>
  <si>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</si>
  <si>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</si>
  <si>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</si>
  <si>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</si>
  <si>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</si>
  <si>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</si>
  <si>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</si>
  <si>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</si>
  <si>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</si>
  <si>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</si>
  <si>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</si>
  <si>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</si>
  <si>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</si>
  <si>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</si>
  <si>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</si>
  <si>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</si>
  <si>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</si>
  <si>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</si>
  <si>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</si>
  <si>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</si>
  <si>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</si>
  <si>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</si>
  <si>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</si>
  <si>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</si>
  <si>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</si>
  <si>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</si>
  <si>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</si>
  <si>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</si>
  <si>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</si>
  <si>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</si>
  <si>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</si>
  <si>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</si>
  <si>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</si>
  <si>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</si>
  <si>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</si>
  <si>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</si>
  <si>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</si>
  <si>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</si>
  <si>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</si>
  <si>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</si>
  <si>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</si>
  <si>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</si>
  <si>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</si>
  <si>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</si>
  <si>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</si>
  <si>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</si>
  <si>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</si>
  <si>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</si>
  <si>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</si>
  <si>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</si>
  <si>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</si>
  <si>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</si>
  <si>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</si>
  <si>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</si>
  <si>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</si>
  <si>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</si>
  <si>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</si>
  <si>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</si>
  <si>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</si>
  <si>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</si>
  <si>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</si>
  <si>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</si>
  <si>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</si>
  <si>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</si>
  <si>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</si>
  <si>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</si>
  <si>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</si>
  <si>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</si>
  <si>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</si>
  <si>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</si>
  <si>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</si>
  <si>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</si>
  <si>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</si>
  <si>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</si>
  <si>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</si>
  <si>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</si>
  <si>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</si>
  <si>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</si>
  <si>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</si>
  <si>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</si>
  <si>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</si>
  <si>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</si>
  <si>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</si>
  <si>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</si>
  <si>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</si>
  <si>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</si>
  <si>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</si>
  <si>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</si>
  <si>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</si>
  <si>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</si>
  <si>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</si>
  <si>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</si>
  <si>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</si>
  <si>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</si>
  <si>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</si>
  <si>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</si>
  <si>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</si>
  <si>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</si>
  <si>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</si>
  <si>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</si>
  <si>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</si>
  <si>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</si>
  <si>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</si>
  <si>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</si>
  <si>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</si>
  <si>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</si>
  <si>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</si>
  <si>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</si>
  <si>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</si>
  <si>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</si>
  <si>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</si>
  <si>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</si>
  <si>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</si>
  <si>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</si>
  <si>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</si>
  <si>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</si>
  <si>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</si>
  <si>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</si>
  <si>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</si>
  <si>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</si>
  <si>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</si>
  <si>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</si>
  <si>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</si>
  <si>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</si>
  <si>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</si>
  <si>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</si>
  <si>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</si>
  <si>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</si>
  <si>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</si>
  <si>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</si>
  <si>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</si>
  <si>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</si>
  <si>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</si>
  <si>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</si>
  <si>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</si>
  <si>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</si>
  <si>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</si>
  <si>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</si>
  <si>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</si>
  <si>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</si>
  <si>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</si>
  <si>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</si>
  <si>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</si>
  <si>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</si>
  <si>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</si>
  <si>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</si>
  <si>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</si>
  <si>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</si>
  <si>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</si>
  <si>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</si>
  <si>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</si>
  <si>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</si>
  <si>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</si>
  <si>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</si>
  <si>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</si>
  <si>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</si>
  <si>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</si>
  <si>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</si>
  <si>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</si>
  <si>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</si>
  <si>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</si>
  <si>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</si>
  <si>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</si>
  <si>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</si>
  <si>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</si>
  <si>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</si>
  <si>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</si>
  <si>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</si>
  <si>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</si>
  <si>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</si>
  <si>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</si>
  <si>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</si>
  <si>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</si>
  <si>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</si>
  <si>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</si>
  <si>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</si>
  <si>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</si>
  <si>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</si>
  <si>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</si>
  <si>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</si>
  <si>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</si>
  <si>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</si>
  <si>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</si>
  <si>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</si>
  <si>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</si>
  <si>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</si>
  <si>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</si>
  <si>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</si>
  <si>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</si>
  <si>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</si>
  <si>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</si>
  <si>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</si>
  <si>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</si>
  <si>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</si>
  <si>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</si>
  <si>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</si>
  <si>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</si>
  <si>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</si>
  <si>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</si>
  <si>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</si>
  <si>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</si>
  <si>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</si>
  <si>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</si>
  <si>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</si>
  <si>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</si>
  <si>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</si>
  <si>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</si>
  <si>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</si>
  <si>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</si>
  <si>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</si>
  <si>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</si>
  <si>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</si>
  <si>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</si>
  <si>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</si>
  <si>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</si>
  <si>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</si>
  <si>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</si>
  <si>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</si>
  <si>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</si>
  <si>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</si>
  <si>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</si>
  <si>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</si>
  <si>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</si>
  <si>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</si>
  <si>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</si>
  <si>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</si>
  <si>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</si>
  <si>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</si>
  <si>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</si>
  <si>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</si>
  <si>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</si>
  <si>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</si>
  <si>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</si>
  <si>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</si>
  <si>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</si>
  <si>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</si>
  <si>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</si>
  <si>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</si>
  <si>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</si>
  <si>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</si>
  <si>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</si>
  <si>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</si>
  <si>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</si>
  <si>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</si>
  <si>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</si>
  <si>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</si>
  <si>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</si>
  <si>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</si>
  <si>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</si>
  <si>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</si>
  <si>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</si>
  <si>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</si>
  <si>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</si>
  <si>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</si>
  <si>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</si>
  <si>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</si>
  <si>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</si>
  <si>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</si>
  <si>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</si>
  <si>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</si>
  <si>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</si>
  <si>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</si>
  <si>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</si>
  <si>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</si>
  <si>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</si>
  <si>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</si>
  <si>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</si>
  <si>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</si>
  <si>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</si>
  <si>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</si>
  <si>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</si>
  <si>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</si>
  <si>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</si>
  <si>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</si>
  <si>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</si>
  <si>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</si>
  <si>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</si>
  <si>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</si>
  <si>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</si>
  <si>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</si>
  <si>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</si>
  <si>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</si>
  <si>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</si>
  <si>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</si>
  <si>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</si>
  <si>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</si>
  <si>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</si>
  <si>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</si>
  <si>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</si>
  <si>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</si>
  <si>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</si>
  <si>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</si>
  <si>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</si>
  <si>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</si>
  <si>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</si>
  <si>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</si>
  <si>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</si>
  <si>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</si>
  <si>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</si>
  <si>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</si>
  <si>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</si>
  <si>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</si>
  <si>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</si>
  <si>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</si>
  <si>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</si>
  <si>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</si>
  <si>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</si>
  <si>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</si>
  <si>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</si>
  <si>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</si>
  <si>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</si>
  <si>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</si>
  <si>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</si>
  <si>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</si>
  <si>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</si>
  <si>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</si>
  <si>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</si>
  <si>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</si>
  <si>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</si>
  <si>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</si>
  <si>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</si>
  <si>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</si>
  <si>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</si>
  <si>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</si>
  <si>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</si>
  <si>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</si>
  <si>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</si>
  <si>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</si>
  <si>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</si>
  <si>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</si>
  <si>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</si>
  <si>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</si>
  <si>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</si>
  <si>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</si>
  <si>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</si>
  <si>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</si>
  <si>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</si>
  <si>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</si>
  <si>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</si>
  <si>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</si>
  <si>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</si>
  <si>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</si>
  <si>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</si>
  <si>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</si>
  <si>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</si>
  <si>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</si>
  <si>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</si>
  <si>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</si>
  <si>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</si>
  <si>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</si>
  <si>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</si>
  <si>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</si>
  <si>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</si>
  <si>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</si>
  <si>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</si>
  <si>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</si>
  <si>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</si>
  <si>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</si>
  <si>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</si>
  <si>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</si>
  <si>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</si>
  <si>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</si>
  <si>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</si>
  <si>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</si>
  <si>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</si>
  <si>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</si>
  <si>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</si>
  <si>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</si>
  <si>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</si>
  <si>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</si>
  <si>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</si>
  <si>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</si>
  <si>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</si>
  <si>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</si>
  <si>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</si>
  <si>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</si>
  <si>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</si>
  <si>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</si>
  <si>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</si>
  <si>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</si>
  <si>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</si>
  <si>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</si>
  <si>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</si>
  <si>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</si>
  <si>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</si>
  <si>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</si>
  <si>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</si>
  <si>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</si>
  <si>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</si>
  <si>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</si>
  <si>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</si>
  <si>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</si>
  <si>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</si>
  <si>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</si>
  <si>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</si>
  <si>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</si>
  <si>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</si>
  <si>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</si>
  <si>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</si>
  <si>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</si>
  <si>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</si>
  <si>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</si>
  <si>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</si>
  <si>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</si>
  <si>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</si>
  <si>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</si>
  <si>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</si>
  <si>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</si>
  <si>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</si>
  <si>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</si>
  <si>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</si>
  <si>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</si>
  <si>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</si>
  <si>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</si>
  <si>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</si>
  <si>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</si>
  <si>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</si>
  <si>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</si>
  <si>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</si>
  <si>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</si>
  <si>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</si>
  <si>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</si>
  <si>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</si>
  <si>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</si>
  <si>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</si>
  <si>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</si>
  <si>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</si>
  <si>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</si>
  <si>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</si>
  <si>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</si>
  <si>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</si>
  <si>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</si>
  <si>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</si>
  <si>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</si>
  <si>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</si>
  <si>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</si>
  <si>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</si>
  <si>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</si>
  <si>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</si>
  <si>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</si>
  <si>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</si>
  <si>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</si>
  <si>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</si>
  <si>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</si>
  <si>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</si>
  <si>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</si>
  <si>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</si>
  <si>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</si>
  <si>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</si>
  <si>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</si>
  <si>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</si>
  <si>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</si>
  <si>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</si>
  <si>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</si>
  <si>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</si>
  <si>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</si>
  <si>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</si>
  <si>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</si>
  <si>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</si>
  <si>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</si>
  <si>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</si>
  <si>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</si>
  <si>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</si>
  <si>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</si>
  <si>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</si>
  <si>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</si>
  <si>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</si>
  <si>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</si>
  <si>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</si>
  <si>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</si>
  <si>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</si>
  <si>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</si>
  <si>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</si>
  <si>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</si>
  <si>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</si>
  <si>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</si>
  <si>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</si>
  <si>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</si>
  <si>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</si>
  <si>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</si>
  <si>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</si>
  <si>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</si>
  <si>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</si>
  <si>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</si>
  <si>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</si>
  <si>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</si>
  <si>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</si>
  <si>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</si>
  <si>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</si>
  <si>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</si>
  <si>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</si>
  <si>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</si>
  <si>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</si>
  <si>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</si>
  <si>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</si>
  <si>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</si>
  <si>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</si>
  <si>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</si>
  <si>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</si>
  <si>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</si>
  <si>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</si>
  <si>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</si>
  <si>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</si>
  <si>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</si>
  <si>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</si>
  <si>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</si>
  <si>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</si>
  <si>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</si>
  <si>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</si>
  <si>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</si>
  <si>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</si>
  <si>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</si>
  <si>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</si>
  <si>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</si>
  <si>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</si>
  <si>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</si>
  <si>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</si>
  <si>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</si>
  <si>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</si>
  <si>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</si>
  <si>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</si>
  <si>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</si>
  <si>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</si>
  <si>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</si>
  <si>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</si>
  <si>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</si>
  <si>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</si>
  <si>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</si>
  <si>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</si>
  <si>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</si>
  <si>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</si>
  <si>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</si>
  <si>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</si>
  <si>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</si>
  <si>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</si>
  <si>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</si>
  <si>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</si>
  <si>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</si>
  <si>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</si>
  <si>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</si>
  <si>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</si>
  <si>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</si>
  <si>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</si>
  <si>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</si>
  <si>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</si>
  <si>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</si>
  <si>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</si>
  <si>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</si>
  <si>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</si>
  <si>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</si>
  <si>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</si>
  <si>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</si>
  <si>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</si>
  <si>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</si>
  <si>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</si>
  <si>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</si>
  <si>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</si>
  <si>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</si>
  <si>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</si>
  <si>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</si>
  <si>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</si>
  <si>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</si>
  <si>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</si>
  <si>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</si>
  <si>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</si>
  <si>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</si>
  <si>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</si>
  <si>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</si>
  <si>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</si>
  <si>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</si>
  <si>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</si>
  <si>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</si>
  <si>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</si>
  <si>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</si>
  <si>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</si>
  <si>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</si>
  <si>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</si>
  <si>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</si>
  <si>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</si>
  <si>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</si>
  <si>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</si>
  <si>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</si>
  <si>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</si>
  <si>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</si>
  <si>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</si>
  <si>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</si>
  <si>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</si>
  <si>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</si>
  <si>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</si>
  <si>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</si>
  <si>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</si>
  <si>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</si>
  <si>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</si>
  <si>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</si>
  <si>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</si>
  <si>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</si>
  <si>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</si>
  <si>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</si>
  <si>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</si>
  <si>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</si>
  <si>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</si>
  <si>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</si>
  <si>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</si>
  <si>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</si>
  <si>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</si>
  <si>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</si>
  <si>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</si>
  <si>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</si>
  <si>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</si>
  <si>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</si>
  <si>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</si>
  <si>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</si>
  <si>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</si>
  <si>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</si>
  <si>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</si>
  <si>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</si>
  <si>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</si>
  <si>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</si>
  <si>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</si>
  <si>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</si>
  <si>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</si>
  <si>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</si>
  <si>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</si>
  <si>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</si>
  <si>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</si>
  <si>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</si>
  <si>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</si>
  <si>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</si>
  <si>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</si>
  <si>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</si>
  <si>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</si>
  <si>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</si>
  <si>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</si>
  <si>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</si>
  <si>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</si>
  <si>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</si>
  <si>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</si>
  <si>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</si>
  <si>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</si>
  <si>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</si>
  <si>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</si>
  <si>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</si>
  <si>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</si>
  <si>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</si>
  <si>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</si>
  <si>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</si>
  <si>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</si>
  <si>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</si>
  <si>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</si>
  <si>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</si>
  <si>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</si>
  <si>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</si>
  <si>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</si>
  <si>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</si>
  <si>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</si>
  <si>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</si>
  <si>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</si>
  <si>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</si>
  <si>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</si>
  <si>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</si>
  <si>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</si>
  <si>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</si>
  <si>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</si>
  <si>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</si>
  <si>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</si>
  <si>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</si>
  <si>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</si>
  <si>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</si>
  <si>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</si>
  <si>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</si>
  <si>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</si>
  <si>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</si>
  <si>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</si>
  <si>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</si>
  <si>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</si>
  <si>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</si>
  <si>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</si>
  <si>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</si>
  <si>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</si>
  <si>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</si>
  <si>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</si>
  <si>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</si>
  <si>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</si>
  <si>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</si>
  <si>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</si>
  <si>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</si>
  <si>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</si>
  <si>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</si>
  <si>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</si>
  <si>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</si>
  <si>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</si>
  <si>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</si>
  <si>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</si>
  <si>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</si>
  <si>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</si>
  <si>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</si>
  <si>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</si>
  <si>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</si>
  <si>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</si>
  <si>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</si>
  <si>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</si>
  <si>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</si>
  <si>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</si>
  <si>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</si>
  <si>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</si>
  <si>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</si>
  <si>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</si>
  <si>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</si>
  <si>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</si>
  <si>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</si>
  <si>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</si>
  <si>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</si>
  <si>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</si>
  <si>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</si>
  <si>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</si>
  <si>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</si>
  <si>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</si>
  <si>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</si>
  <si>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</si>
  <si>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</si>
  <si>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</si>
  <si>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</si>
  <si>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</si>
  <si>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</si>
  <si>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</si>
  <si>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</si>
  <si>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</si>
  <si>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</si>
  <si>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</si>
  <si>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</si>
  <si>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</si>
  <si>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</si>
  <si>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</si>
  <si>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</si>
  <si>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</si>
  <si>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</si>
  <si>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</si>
  <si>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</si>
  <si>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</si>
  <si>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</si>
  <si>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</si>
  <si>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</si>
  <si>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</si>
  <si>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</si>
  <si>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</si>
  <si>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</si>
  <si>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</si>
  <si>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</si>
  <si>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</si>
  <si>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</si>
  <si>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</si>
  <si>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</si>
  <si>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</si>
  <si>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</si>
  <si>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</si>
  <si>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</si>
  <si>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</si>
  <si>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</si>
  <si>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</si>
  <si>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</si>
  <si>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</si>
  <si>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</si>
  <si>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</si>
  <si>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</si>
  <si>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</si>
  <si>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</si>
  <si>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</si>
  <si>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</si>
  <si>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</si>
  <si>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</si>
  <si>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</si>
  <si>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</si>
  <si>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</si>
  <si>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</si>
  <si>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integer</t>
  </si>
  <si>
    <t>number</t>
  </si>
  <si>
    <t>x方向の画素数</t>
  </si>
  <si>
    <t>Pixel number along x axis</t>
  </si>
  <si>
    <t>y方向の画素数</t>
  </si>
  <si>
    <t>Pixel number along y axis</t>
  </si>
  <si>
    <t>pixel</t>
  </si>
  <si>
    <t>RDEDatasetTemplateSheet_RDE_ELECTRON_MICROSCOPE_STANDARD_TemDM3</t>
  </si>
  <si>
    <t>RDEDatasetTemplateSheet_RDE_ELECTRON_MICROSCOPE_STANDARD_TemDM3</t>
    <phoneticPr fontId="2"/>
  </si>
  <si>
    <t>sputtering_apparatus</t>
  </si>
  <si>
    <t>スパッタリング装置</t>
  </si>
  <si>
    <t>Sputtering Apparatus</t>
  </si>
  <si>
    <t>specimen_label</t>
  </si>
  <si>
    <t>試料名</t>
  </si>
  <si>
    <t>Specimen label</t>
  </si>
  <si>
    <t>sample_year</t>
  </si>
  <si>
    <t>試料作製年</t>
  </si>
  <si>
    <t>Sample year</t>
  </si>
  <si>
    <t>sample_month</t>
  </si>
  <si>
    <t>試料作製月</t>
  </si>
  <si>
    <t>Sample month</t>
  </si>
  <si>
    <t>stem_stem_imaging_mode</t>
  </si>
  <si>
    <t>STEM像の種類(BR/ABF/ADF/HAADF/..)</t>
  </si>
  <si>
    <t>STEM imaging mode</t>
  </si>
  <si>
    <t>list</t>
  </si>
  <si>
    <t>stem_convergence_semiangle</t>
  </si>
  <si>
    <t>収束半角</t>
  </si>
  <si>
    <t>Convergence semiangle</t>
  </si>
  <si>
    <t>mrad</t>
  </si>
  <si>
    <t>stem_inner_detection_semiangle</t>
  </si>
  <si>
    <t>取り込み半角（内側）</t>
  </si>
  <si>
    <t>Inner detection semiangle</t>
  </si>
  <si>
    <t>stem_outer_detection_semiangle</t>
  </si>
  <si>
    <t>取り込み半角（外側）</t>
  </si>
  <si>
    <t>Outer detection semiangle</t>
  </si>
  <si>
    <t>stem_gun_type</t>
  </si>
  <si>
    <t>電子銃</t>
  </si>
  <si>
    <t>Gun type</t>
  </si>
  <si>
    <t>stem_probe_current</t>
  </si>
  <si>
    <t>プローブ電流</t>
  </si>
  <si>
    <t>Probe current</t>
  </si>
  <si>
    <t>pA</t>
  </si>
  <si>
    <t>stem_number_of_integrated_frames</t>
  </si>
  <si>
    <t>積算枚数</t>
  </si>
  <si>
    <t>Number of integrated frames</t>
  </si>
  <si>
    <t>tem_tem_imaging_mode</t>
  </si>
  <si>
    <t>TEM像の種類(BF/DF/..)</t>
  </si>
  <si>
    <t>TEM imaging mode(BF/DF/..)</t>
  </si>
  <si>
    <t>tem_illumination_semiangle</t>
  </si>
  <si>
    <t>照射半角</t>
  </si>
  <si>
    <t>Illumination semiangle</t>
  </si>
  <si>
    <t>tem_objective_aperture_radius</t>
  </si>
  <si>
    <t>対物絞り径（半角）</t>
  </si>
  <si>
    <t>Objective aperture radius</t>
  </si>
  <si>
    <t>tem_gun_type</t>
  </si>
  <si>
    <t>tem_probe_current</t>
  </si>
  <si>
    <t>tem_number_of_integrated_frames</t>
  </si>
  <si>
    <t>eels_convergence_semiangle</t>
  </si>
  <si>
    <t>eels_collection_semiangle</t>
  </si>
  <si>
    <t>取り込み半角</t>
  </si>
  <si>
    <t>Collection semiangle</t>
  </si>
  <si>
    <t>eels_gun_type</t>
  </si>
  <si>
    <t>eels_energy_resolution_fwhm</t>
  </si>
  <si>
    <t>エネルギー分解能（FWHM）</t>
  </si>
  <si>
    <t>Energy resolution(FWHM)</t>
  </si>
  <si>
    <t>eV</t>
  </si>
  <si>
    <t>eels_relative_thickness</t>
  </si>
  <si>
    <t>相対膜厚</t>
  </si>
  <si>
    <t>Relative thickness</t>
  </si>
  <si>
    <t>MFP</t>
  </si>
  <si>
    <t>eels_element_and_edge</t>
  </si>
  <si>
    <t>元素と励起内殻</t>
  </si>
  <si>
    <t>Element and edge</t>
  </si>
  <si>
    <t>eels_energy_calibration</t>
  </si>
  <si>
    <t>エネルギーキャリブレーション</t>
  </si>
  <si>
    <t>Energy calibration</t>
  </si>
  <si>
    <t>common_data_type</t>
  </si>
  <si>
    <t>登録データタイプ</t>
  </si>
  <si>
    <t>Data type</t>
  </si>
  <si>
    <t>common_data_origin</t>
  </si>
  <si>
    <t>データの起源</t>
  </si>
  <si>
    <t>Data Origin</t>
  </si>
  <si>
    <t>common_technical_category</t>
  </si>
  <si>
    <t>技術カテゴリー</t>
  </si>
  <si>
    <t>Technical Category</t>
  </si>
  <si>
    <t>common_reference</t>
  </si>
  <si>
    <t>参考文献</t>
  </si>
  <si>
    <t>Reference</t>
  </si>
  <si>
    <t>measurement_method_category</t>
  </si>
  <si>
    <t>計測法カテゴリー</t>
  </si>
  <si>
    <t>Method category</t>
  </si>
  <si>
    <t>measurement_method_sub_category</t>
  </si>
  <si>
    <t>計測法サブカテゴリー</t>
  </si>
  <si>
    <t>Method sub-category</t>
  </si>
  <si>
    <t>measurement_analysis_field</t>
  </si>
  <si>
    <t>分析分野</t>
  </si>
  <si>
    <t>Analysis field</t>
  </si>
  <si>
    <t>measurement_measurement_environment</t>
  </si>
  <si>
    <t>測定環境</t>
  </si>
  <si>
    <t>Measurement environment</t>
  </si>
  <si>
    <t>measurement_energy_level_transition_structure_etc_of_interst</t>
  </si>
  <si>
    <t>対象準位_遷移_構造</t>
  </si>
  <si>
    <t>Energy level_transition_structure etc. of interst</t>
  </si>
  <si>
    <t>measurement_measured_date</t>
  </si>
  <si>
    <t>分析年月日</t>
  </si>
  <si>
    <t>Measured date</t>
  </si>
  <si>
    <t>date</t>
  </si>
  <si>
    <t>measurement_standardized_procedure</t>
  </si>
  <si>
    <t>標準手順</t>
  </si>
  <si>
    <t>Standardized procedure</t>
  </si>
  <si>
    <t>measurement_instrumentation_site</t>
  </si>
  <si>
    <t>装置設置場所</t>
  </si>
  <si>
    <t>Instrumentation site</t>
  </si>
  <si>
    <t>BF, ABF, ADF, HAADF</t>
  </si>
  <si>
    <t>STEMの場合に記入</t>
  </si>
  <si>
    <t>BF, DF</t>
  </si>
  <si>
    <t>TEMの場合に記入</t>
  </si>
  <si>
    <t>EELSの場合に記入</t>
  </si>
  <si>
    <t>TEM</t>
  </si>
  <si>
    <t>experiments</t>
  </si>
  <si>
    <t>measurement</t>
  </si>
  <si>
    <t>装置情報から自動取得します</t>
  </si>
  <si>
    <t>Automatically get from device output</t>
  </si>
  <si>
    <t>千現地区</t>
  </si>
  <si>
    <t>measurement_technique</t>
  </si>
  <si>
    <t>測定手法</t>
  </si>
  <si>
    <t>Measurement Technique</t>
  </si>
  <si>
    <t>tem.operator_identifier</t>
  </si>
  <si>
    <t>ImageList.TagGroup0.ImageTags.Session Info.Operator</t>
  </si>
  <si>
    <t>測定者</t>
  </si>
  <si>
    <t>Operator identifier</t>
  </si>
  <si>
    <t>tem.operator_affiliation_identifier</t>
  </si>
  <si>
    <t>測定者所属機関</t>
  </si>
  <si>
    <t>Operator affiliation identifier</t>
  </si>
  <si>
    <t>tem.institution_idendfier</t>
  </si>
  <si>
    <t>所属施設など</t>
  </si>
  <si>
    <t>Institution idendfier</t>
  </si>
  <si>
    <t>tem.measurement_instrument</t>
  </si>
  <si>
    <t>ImageList.TagGroup0.ImageTags.Session Info.Items.TagGroup2.Value</t>
  </si>
  <si>
    <t>測定装置</t>
  </si>
  <si>
    <t>Measurement Instrument</t>
  </si>
  <si>
    <t>tem.experiment_id</t>
  </si>
  <si>
    <t>測定内容識別ID</t>
  </si>
  <si>
    <t>Experiment ID</t>
  </si>
  <si>
    <t>tem.file_property</t>
  </si>
  <si>
    <t>測定ファイル_属性</t>
  </si>
  <si>
    <t>File Property</t>
  </si>
  <si>
    <t>tem.operation_date_time_year</t>
  </si>
  <si>
    <t>ImageList.TagGroup0.ImageTags.DataBar.Acquisition Date</t>
  </si>
  <si>
    <t>測定日時[年]</t>
  </si>
  <si>
    <t>Operation Date-time[Year]</t>
  </si>
  <si>
    <t>tem.operation_date_time_month</t>
  </si>
  <si>
    <t>測定日時[月]</t>
  </si>
  <si>
    <t>Operation Date-time[Month]</t>
  </si>
  <si>
    <t>tem.operation_date_time_day</t>
  </si>
  <si>
    <t>測定日時[日]</t>
  </si>
  <si>
    <t>Operation Date-time[Day]</t>
  </si>
  <si>
    <t>tem.operation_date_time_hour</t>
  </si>
  <si>
    <t>ImageList.TagGroup0.ImageTags.DataBar.Acquisition Time</t>
  </si>
  <si>
    <t>測定日時[時]</t>
  </si>
  <si>
    <t>Operation Date-time[Hour]</t>
  </si>
  <si>
    <t>tem.operation_date_time_minute</t>
  </si>
  <si>
    <t>測定日時[分]</t>
  </si>
  <si>
    <t>Operation Date-time[Minute]</t>
  </si>
  <si>
    <t>tem.operation_date_time_second</t>
  </si>
  <si>
    <t>測定日時[秒]</t>
  </si>
  <si>
    <t>Operation Date-time[Second]</t>
  </si>
  <si>
    <t>tem.dwell_time</t>
  </si>
  <si>
    <t>ImageList.TagGroup0.ImageTags.DigiScan.Sample Time</t>
  </si>
  <si>
    <t>画素滞在時間</t>
  </si>
  <si>
    <t>Dwell Time</t>
  </si>
  <si>
    <t>tem.image_data_size</t>
  </si>
  <si>
    <t>ImageList.TagGroup0.ImageData.Data.size_bytes</t>
  </si>
  <si>
    <t>画像データサイズ</t>
  </si>
  <si>
    <t>Image Data Size</t>
  </si>
  <si>
    <t>tem.origin_of_tem_image_intensity</t>
  </si>
  <si>
    <t>ImageList.TagGroup0.ImageData.Calibrations.Brightness.Origin</t>
  </si>
  <si>
    <t>TEM像強度の原点</t>
  </si>
  <si>
    <t>Origin of TEM image intensity</t>
  </si>
  <si>
    <t>tem.scale_of_tem_image_intensity</t>
  </si>
  <si>
    <t>ImageList.TagGroup0.ImageData.Calibrations.Brightness.Scale</t>
  </si>
  <si>
    <t>TEM像強度のスケール</t>
  </si>
  <si>
    <t>Scale of TEM image intensity</t>
  </si>
  <si>
    <t>tem.unit_of_tem_image_intensity</t>
  </si>
  <si>
    <t>ImageList.TagGroup0.ImageData.Calibrations.Brightness.Units</t>
  </si>
  <si>
    <t>TEM像強度の単位</t>
  </si>
  <si>
    <t>Unit of TEM image intensity</t>
  </si>
  <si>
    <t>tem.pixel_size_along_x_axis</t>
  </si>
  <si>
    <t>ImageList.TagGroup0.ImageData.Calibrations.Dimension.TagGroup0.Scale</t>
  </si>
  <si>
    <t>x方向の画素サイズ</t>
  </si>
  <si>
    <t>Pixel size along x axis</t>
  </si>
  <si>
    <t>tem.pixel_size_along_y_axis</t>
  </si>
  <si>
    <t>ImageList.TagGroup0.ImageData.Calibrations.Dimension.TagGroup1.Scale</t>
  </si>
  <si>
    <t>y方向の画素サイズ</t>
  </si>
  <si>
    <t>Pixel size along y axis</t>
  </si>
  <si>
    <t>tem.pixel_number_along_x_axis</t>
  </si>
  <si>
    <t>ImageList.TagGroup0.ImageData.Dimensions.Data0</t>
  </si>
  <si>
    <t>tem.pixel_number_along_y_axis</t>
  </si>
  <si>
    <t>ImageList.TagGroup0.ImageData.Dimensions.Data1</t>
  </si>
  <si>
    <t>tem.pixel_actual_size_along_x_axis</t>
  </si>
  <si>
    <t>x方向の実サイズ</t>
  </si>
  <si>
    <t>Pixel actual size along x axis</t>
  </si>
  <si>
    <t>tem.pixel_actual_size_along_y_axis</t>
  </si>
  <si>
    <t>y方向の実サイズ</t>
  </si>
  <si>
    <t>Pixel actual size along y axis</t>
  </si>
  <si>
    <t>tem.dynamic_range_of_tem_image_intensity</t>
  </si>
  <si>
    <t>ImageList.TagGroup0.ImageData.PixelDepth</t>
  </si>
  <si>
    <t>TEM像強度のダイナミックレンジ</t>
  </si>
  <si>
    <t>Dynamic range of TEM image intensity</t>
  </si>
  <si>
    <t>tem.name_of_scanning_unit</t>
  </si>
  <si>
    <t>ImageList.TagGroup0.ImageTags.DataBar.Device Name</t>
  </si>
  <si>
    <t>走査装置名称</t>
  </si>
  <si>
    <t>Name of scanning unit</t>
  </si>
  <si>
    <t>tem.serial_number_by_scanning_unit</t>
  </si>
  <si>
    <t>ImageList.TagGroup0.ImageTags.DataBar.Exposure Number</t>
  </si>
  <si>
    <t>走査ユニット出力シリアル番号</t>
  </si>
  <si>
    <t>Serial number by scanning unit</t>
  </si>
  <si>
    <t>tem.flyback_time</t>
  </si>
  <si>
    <t>ImageList.TagGroup0.ImageTags.DigiScan.Flyback</t>
  </si>
  <si>
    <t>振り戻し時間</t>
  </si>
  <si>
    <t>Flyback time</t>
  </si>
  <si>
    <t>tem.line_synchronization</t>
  </si>
  <si>
    <t>ImageList.TagGroup0.ImageTags.DigiScan.Synchronize Lines</t>
  </si>
  <si>
    <t>電源同期</t>
  </si>
  <si>
    <t>Line synchronization</t>
  </si>
  <si>
    <t>tem.gms_version_for_acquisition</t>
  </si>
  <si>
    <t>ImageList.TagGroup0.ImageTags.GMS Version.Created</t>
  </si>
  <si>
    <t>データ取得GMSバージョン</t>
  </si>
  <si>
    <t>GMS version for acquisition</t>
  </si>
  <si>
    <t>tem.gms_version_for_saving</t>
  </si>
  <si>
    <t>ImageList.TagGroup0.ImageTags.GMS Version.Saved</t>
  </si>
  <si>
    <t>データ保存GMSバーション</t>
  </si>
  <si>
    <t>GMS version for saving</t>
  </si>
  <si>
    <t>tem.magnification</t>
  </si>
  <si>
    <t>ImageList.TagGroup0.ImageTags.Microscope Info.Indicated Magnification</t>
  </si>
  <si>
    <t>倍率</t>
  </si>
  <si>
    <t>Magnification</t>
  </si>
  <si>
    <t>tem.acceleration_voltage</t>
  </si>
  <si>
    <t>ImageList.TagGroup0.ImageTags.Microscope Info.Voltage</t>
  </si>
  <si>
    <t>加速電圧</t>
  </si>
  <si>
    <t>Acceleration voltage</t>
  </si>
  <si>
    <t>tem.post_specimen_lens_setting</t>
  </si>
  <si>
    <t>ImageList.TagGroup0.ImageTags.Microscope Info.Imaging Mode</t>
  </si>
  <si>
    <t>結像系レンズ設定</t>
  </si>
  <si>
    <t>Post-specimen lens setting</t>
  </si>
  <si>
    <t>tem.pre_specimen_lens_setting</t>
  </si>
  <si>
    <t>ImageList.TagGroup0.ImageTags.Microscope Info.Illumination Mode</t>
  </si>
  <si>
    <t>照射系レンズ設定</t>
  </si>
  <si>
    <t>Pre-specimen lens setting</t>
  </si>
  <si>
    <t>tem.microscope_information</t>
  </si>
  <si>
    <t>ImageList.TagGroup0.ImageTags.Microscope Info.Name</t>
  </si>
  <si>
    <t>電子顕微鏡情報</t>
  </si>
  <si>
    <t>Microscope information</t>
  </si>
  <si>
    <t>tem.microscope_operation_mode</t>
  </si>
  <si>
    <t>ImageList.TagGroup0.ImageTags.Microscope Info.Operation Mode</t>
  </si>
  <si>
    <t>電子顕微鏡モード</t>
  </si>
  <si>
    <t>Microscope operation mode</t>
  </si>
  <si>
    <t>tem.stem_camera_length</t>
  </si>
  <si>
    <t>ImageList.TagGroup0.ImageTags.Microscope Info.STEM Camera Length</t>
  </si>
  <si>
    <t>STEMカメラ長</t>
  </si>
  <si>
    <t>STEM camera length</t>
  </si>
  <si>
    <t>tem.file_name</t>
  </si>
  <si>
    <t>ImageList.TagGroup0.Name</t>
  </si>
  <si>
    <t>ファイル名</t>
  </si>
  <si>
    <t>File name</t>
  </si>
  <si>
    <t>tem.session_information_microscope</t>
  </si>
  <si>
    <t>ImageList.TagGroup0.ImageTags.Session Info.Microscope</t>
  </si>
  <si>
    <t>セッション情報（電子顕微鏡）</t>
  </si>
  <si>
    <t>Session information(microscope)</t>
  </si>
  <si>
    <t>tem.session_information_operator</t>
  </si>
  <si>
    <t>セッション情報（オペレーター）</t>
  </si>
  <si>
    <t>Session information(operator)</t>
  </si>
  <si>
    <t>tem.session_information_specimen</t>
  </si>
  <si>
    <t>ImageList.TagGroup0.ImageTags.Session Info.Specimen</t>
  </si>
  <si>
    <t>セッション情報（試料）</t>
  </si>
  <si>
    <t>Session_information(specimen)</t>
  </si>
  <si>
    <t>tem.comment</t>
  </si>
  <si>
    <t>コメント</t>
  </si>
  <si>
    <t>Comment</t>
  </si>
  <si>
    <t>stem.operator_identifier</t>
  </si>
  <si>
    <t>stem.operator_affiliation_identifier</t>
  </si>
  <si>
    <t>stem.institution_idendfier</t>
  </si>
  <si>
    <t>stem.measurement_instrument</t>
  </si>
  <si>
    <t>stem.experiment_id</t>
  </si>
  <si>
    <t>stem.file_property</t>
  </si>
  <si>
    <t>stem.operation_date_time_year</t>
  </si>
  <si>
    <t>stem.operation_date_time_month</t>
  </si>
  <si>
    <t>stem.operation_date_time_day</t>
  </si>
  <si>
    <t>stem.operation_date_time_hour</t>
  </si>
  <si>
    <t>stem.operation_date_time_minute</t>
  </si>
  <si>
    <t>stem.operation_date_time_second</t>
  </si>
  <si>
    <t>stem.dwell_time</t>
  </si>
  <si>
    <t>stem.image_data_size</t>
  </si>
  <si>
    <t>stem.origin_of_stem_image_intensity</t>
  </si>
  <si>
    <t>STEM像強度の原点</t>
  </si>
  <si>
    <t>Origin of STEM image intensity</t>
  </si>
  <si>
    <t>stem.scale_of_stem_image_intensity</t>
  </si>
  <si>
    <t>STEM像強度のスケール</t>
  </si>
  <si>
    <t>Scale of STEM image intensity</t>
  </si>
  <si>
    <t>stem.unit_of_stem_image_intensity</t>
  </si>
  <si>
    <t>STEM像強度の単位</t>
  </si>
  <si>
    <t>Unit of STEM image intensity</t>
  </si>
  <si>
    <t>stem.pixel_size_along_x_axis</t>
  </si>
  <si>
    <t>stem.pixel_size_along_y_axis</t>
  </si>
  <si>
    <t>stem.pixel_number_along_x_axis</t>
  </si>
  <si>
    <t>stem.pixel_number_along_y_axis</t>
  </si>
  <si>
    <t>stem.pixel_actual_size_along_x_axis</t>
  </si>
  <si>
    <t>stem.pixel_actual_size_along_y_axis</t>
  </si>
  <si>
    <t>stem.dynamic_range_of_stem_image_intensity</t>
  </si>
  <si>
    <t>STEM像強度のダイナミックレンジ</t>
  </si>
  <si>
    <t>Dynamic range of STEM image intensity</t>
  </si>
  <si>
    <t>stem.name_of_scanning_unit</t>
  </si>
  <si>
    <t>stem.serial_number_by_scanning_unit</t>
  </si>
  <si>
    <t>stem.flyback_time</t>
  </si>
  <si>
    <t>stem.line_synchronization</t>
  </si>
  <si>
    <t>stem.gms_version_for_acquisition</t>
  </si>
  <si>
    <t>stem.gms_version_for_saving</t>
  </si>
  <si>
    <t>stem.magnification</t>
  </si>
  <si>
    <t>stem.acceleration_voltage</t>
  </si>
  <si>
    <t>stem.post_specimen_lens_setting</t>
  </si>
  <si>
    <t>stem.pre_specimen_lens_setting</t>
  </si>
  <si>
    <t>stem.microscope_information</t>
  </si>
  <si>
    <t>stem.microscope_operation_mode</t>
  </si>
  <si>
    <t>stem.stem_camera_length</t>
  </si>
  <si>
    <t>stem.file_name</t>
  </si>
  <si>
    <t>stem.session_information_microscope</t>
  </si>
  <si>
    <t>stem.session_information_operator</t>
  </si>
  <si>
    <t>stem.session_information_specimen</t>
  </si>
  <si>
    <t>stem.comment</t>
  </si>
  <si>
    <t>ted.operator_identifier</t>
  </si>
  <si>
    <t>ted.operator_affiliation_identifier</t>
  </si>
  <si>
    <t>ted.institution_idendfier</t>
  </si>
  <si>
    <t>ted.measurement_instrument</t>
  </si>
  <si>
    <t>ImageList.TagGroup0.ImageTags.Session Info.Items.2.Value</t>
  </si>
  <si>
    <t>ted.experiment_id</t>
  </si>
  <si>
    <t>ted.file_property</t>
  </si>
  <si>
    <t>ted.operation_date_time_year</t>
  </si>
  <si>
    <t>ted.operation_date_time_month</t>
  </si>
  <si>
    <t>ted.operation_date_time_day</t>
  </si>
  <si>
    <t>ted.operation_date_time_hour</t>
  </si>
  <si>
    <t>ted.operation_date_time_minute</t>
  </si>
  <si>
    <t>ted.operation_date_time_second</t>
  </si>
  <si>
    <t>ted.image_data_size</t>
  </si>
  <si>
    <t>ted.origin_of_diffraction_pattern_intensity</t>
  </si>
  <si>
    <t>回折図形強度の原点</t>
  </si>
  <si>
    <t>Origin of diffraction pattern intensity</t>
  </si>
  <si>
    <t>ted.scale_of_diffraction_pattern_intensity</t>
  </si>
  <si>
    <t>回折図形強度のスケール</t>
  </si>
  <si>
    <t>Scale of diffraction pattern intensity</t>
  </si>
  <si>
    <t>ted.unit_of_diffraction_pattern_intensity</t>
  </si>
  <si>
    <t>回折図形強度の単位</t>
  </si>
  <si>
    <t>Unit_of_diffraction_pattern_intensity</t>
  </si>
  <si>
    <t>ted.origin_of_x_axis</t>
  </si>
  <si>
    <t>ImageList.TagGroup0.ImageData.Calibrations.Dimension.TagGroup0.Origin</t>
  </si>
  <si>
    <t>x方向の原点</t>
  </si>
  <si>
    <t>Origin of x axis</t>
  </si>
  <si>
    <t>ted.origin_of_y_axis</t>
  </si>
  <si>
    <t>ImageList.TagGroup0.ImageData.Calibrations.Dimension.TagGroup1.Origin</t>
  </si>
  <si>
    <t>y方向の原点</t>
  </si>
  <si>
    <t>Origin of y axis</t>
  </si>
  <si>
    <t>ted.pixel_size_along_x_axis</t>
  </si>
  <si>
    <t>ted.pixel_size_along_y_axis</t>
  </si>
  <si>
    <t>ted.pixel_number_along_x_axis</t>
  </si>
  <si>
    <t>ted.pixel_number_along_y_axis</t>
  </si>
  <si>
    <t>ted.pixel_actual_size_along_x_axis</t>
  </si>
  <si>
    <t>ted.pixel_actual_size_along_y_axis</t>
  </si>
  <si>
    <t>ted.dynamic_range_of_diffraction_pattern_intensity</t>
  </si>
  <si>
    <t>回折図形強度のダイナミックレンジ</t>
  </si>
  <si>
    <t>Dynamic range of diffraction pattern intensity</t>
  </si>
  <si>
    <t>ted.detector</t>
  </si>
  <si>
    <t>検出器</t>
  </si>
  <si>
    <t>Detector</t>
  </si>
  <si>
    <t>ted.serial_number_by_detector_unit</t>
  </si>
  <si>
    <t>検出器ユニット出力シリアル番号</t>
  </si>
  <si>
    <t>Serial number by detector unit</t>
  </si>
  <si>
    <t>ted.exposure_time</t>
  </si>
  <si>
    <t>ImageList.TagGroup0.ImageTags.DataBar.Exposure Time (s)</t>
  </si>
  <si>
    <t>露光時間</t>
  </si>
  <si>
    <t>Exposure time</t>
  </si>
  <si>
    <t>ted.gms_version_for_acquisition</t>
  </si>
  <si>
    <t>ted.gms_version_for_saving</t>
  </si>
  <si>
    <t>ted.camera_length</t>
  </si>
  <si>
    <t>カメラ長</t>
  </si>
  <si>
    <t>Camera length</t>
  </si>
  <si>
    <t>ted.acceleration_voltage</t>
  </si>
  <si>
    <t>ted.post_specimen_lens_setting</t>
  </si>
  <si>
    <t>ted.pre_specimen_lens_setting</t>
  </si>
  <si>
    <t>ted.microscope_information</t>
  </si>
  <si>
    <t>ted.microscope_operation_mode</t>
  </si>
  <si>
    <t>ted.file_name</t>
  </si>
  <si>
    <t>ted.session_information_microscope</t>
  </si>
  <si>
    <t>ted.session_information_operator</t>
  </si>
  <si>
    <t>ted.session_infomation_specimen</t>
  </si>
  <si>
    <t>セッション情報(試料)</t>
  </si>
  <si>
    <t>Session infomation(specimen)</t>
  </si>
  <si>
    <t>ted.comment</t>
  </si>
  <si>
    <t>eels.operator_identifier</t>
  </si>
  <si>
    <t>eels.operator_affiliation_identifier</t>
  </si>
  <si>
    <t>eels.institution_idendfier</t>
  </si>
  <si>
    <t>eels.measurement_instrument</t>
  </si>
  <si>
    <t>eels.experiment_id</t>
  </si>
  <si>
    <t>eels.file_property</t>
  </si>
  <si>
    <t>eels.operation_date_time_year</t>
  </si>
  <si>
    <t>ImageList.TagGroup0.ImageTags.EELS.Acquisition.Date</t>
  </si>
  <si>
    <t>eels.operation_date_time_month</t>
  </si>
  <si>
    <t>eels.operation_date_time_day</t>
  </si>
  <si>
    <t>eels.operation_date_time_hour</t>
  </si>
  <si>
    <t>ImageList.TagGroup0.ImageTags.EELS.Acquisition.End time</t>
  </si>
  <si>
    <t>eels.operation_date_time_minute</t>
  </si>
  <si>
    <t>eels.operation_date_time_second</t>
  </si>
  <si>
    <t>eels.data_size</t>
  </si>
  <si>
    <t>データサイズ</t>
  </si>
  <si>
    <t>Data_size</t>
  </si>
  <si>
    <t>eels.file_name</t>
  </si>
  <si>
    <t>eels.origin_of_spectrum_intensity</t>
  </si>
  <si>
    <t>スペクトル強度の原点</t>
  </si>
  <si>
    <t>Origin of spectrum intensity</t>
  </si>
  <si>
    <t>eels.scale_of_spectrum_intensity</t>
  </si>
  <si>
    <t>スペクトル強度のスケール</t>
  </si>
  <si>
    <t>Scale of spectrum intensity</t>
  </si>
  <si>
    <t>eels.unit_of_spectrum_intensity</t>
  </si>
  <si>
    <t>スペクトル強度の単位</t>
  </si>
  <si>
    <t>Unit of spectrum intensity</t>
  </si>
  <si>
    <t>eels.energy_dispersion_per_channel</t>
  </si>
  <si>
    <t>エネルギー分散</t>
  </si>
  <si>
    <t>Energy dispersion per channel</t>
  </si>
  <si>
    <t>eels.number_of_channels</t>
  </si>
  <si>
    <t>チャンネル数</t>
  </si>
  <si>
    <t>Number of channels</t>
  </si>
  <si>
    <t>eels.dynamic_range_of_spectrum_intensity</t>
  </si>
  <si>
    <t>スペクトル強度のダイナミックレンジ</t>
  </si>
  <si>
    <t>Dynamic range of spectrum intensity</t>
  </si>
  <si>
    <t>eels.detector</t>
  </si>
  <si>
    <t>ImageList.TagGroup0.ImageTags.Acquisition.Device.Name</t>
  </si>
  <si>
    <t>eels.binning</t>
  </si>
  <si>
    <t>ImageList.TagGroup0.ImageTags.Acquisition.Frame.Area.Transform.Transform List.TagGroup0.Binning</t>
  </si>
  <si>
    <t>ビニング</t>
  </si>
  <si>
    <t>Binning</t>
  </si>
  <si>
    <t>eels.total_integration_time</t>
  </si>
  <si>
    <t>ImageList.TagGroup0.ImageTags.EELS.Acquisition.Integration time (s)</t>
  </si>
  <si>
    <t>総計測時間</t>
  </si>
  <si>
    <t>Total integration time</t>
  </si>
  <si>
    <t>eels.number_of_frames</t>
  </si>
  <si>
    <t>ImageList.TagGroup0.ImageTags.EELS.Acquisition.Number of frames</t>
  </si>
  <si>
    <t>積算回数</t>
  </si>
  <si>
    <t>Number of frames</t>
  </si>
  <si>
    <t>eels.measurement_starting_time</t>
  </si>
  <si>
    <t>ImageList.TagGroup0.ImageTags.EELS.Acquisition.Start time</t>
  </si>
  <si>
    <t>測定開始時刻</t>
  </si>
  <si>
    <t>Measurement starting time</t>
  </si>
  <si>
    <t>eels.spectrometer_entrance_aperture</t>
  </si>
  <si>
    <t>ImageList.TagGroup0.ImageTags.EELS Spectrometer.Aperture label</t>
  </si>
  <si>
    <t>分光器入射絞り</t>
  </si>
  <si>
    <t>Spectrometer entrance aperture</t>
  </si>
  <si>
    <t>eels.drift_tube_enable</t>
  </si>
  <si>
    <t>ImageList.TagGroup0.ImageTags.EELS Spectrometer.Drift tube enabled</t>
  </si>
  <si>
    <t>ドリフトチューブ設定</t>
  </si>
  <si>
    <t>Drift tube enable</t>
  </si>
  <si>
    <t>eels.drift_tube_voltage</t>
  </si>
  <si>
    <t>ImageList.TagGroup0.ImageTags.EELS Spectrometer.Drift tube voltage (V)</t>
  </si>
  <si>
    <t>ドリフトチューブ電圧</t>
  </si>
  <si>
    <t>Drift tube voltage</t>
  </si>
  <si>
    <t>eels.magnetic_sector_setting</t>
  </si>
  <si>
    <t>ImageList.TagGroup0.ImageTags.EELS Spectrometer.Energy loss (eV)</t>
  </si>
  <si>
    <t>磁場セクター設定</t>
  </si>
  <si>
    <t>Magnetic sector setting</t>
  </si>
  <si>
    <t>eels.high_tension_offset_voltage</t>
  </si>
  <si>
    <t>ImageList.TagGroup0.ImageTags.EELS Spectrometer.HT offset (V)</t>
  </si>
  <si>
    <t>加速電圧オフセット電圧</t>
  </si>
  <si>
    <t>High tension offset voltage</t>
  </si>
  <si>
    <t>eels.high_tension_offset_enable</t>
  </si>
  <si>
    <t>ImageList.TagGroup0.ImageTags.EELS Spectrometer.HT offset enabled</t>
  </si>
  <si>
    <t>加速電圧オフセット設定</t>
  </si>
  <si>
    <t>High tension offset enable</t>
  </si>
  <si>
    <t>eels.eels_spectrometer_name</t>
  </si>
  <si>
    <t>ImageList.TagGroup0.ImageTags.EELS Spectrometer.Instrument name</t>
  </si>
  <si>
    <t>EELS装置名</t>
  </si>
  <si>
    <t>EELS spectrometer name</t>
  </si>
  <si>
    <t>eels.gms_version_for_acquisition</t>
  </si>
  <si>
    <t>eels.gms_version_for_saving</t>
  </si>
  <si>
    <t>eels.magnification</t>
  </si>
  <si>
    <t>eels.acceleration_voltage</t>
  </si>
  <si>
    <t>eels.post_specimen_lens_setting</t>
  </si>
  <si>
    <t>eels.pre_specimen_lens_setting</t>
  </si>
  <si>
    <t>eels.microscope_information</t>
  </si>
  <si>
    <t>eels.microscope_operation_mode</t>
  </si>
  <si>
    <t>eels.stem_camera_length</t>
  </si>
  <si>
    <t>eels.file_name2</t>
  </si>
  <si>
    <t>ファイル名2</t>
  </si>
  <si>
    <t>File name2</t>
  </si>
  <si>
    <t>eels.specimen_info</t>
  </si>
  <si>
    <t>試料情報</t>
  </si>
  <si>
    <t>Specimen info</t>
  </si>
  <si>
    <t>eels.comment</t>
  </si>
  <si>
    <t>STEM, TEM, TEDの場合は「ImageList.TagGroup0.ImageTags.Microscope Info.Illumination Mode」から取得。EELSの場合は「ImageList.TagGroup0.ImageTags.Meta Data.Signal」から取得。</t>
  </si>
  <si>
    <t>us</t>
  </si>
  <si>
    <t>nm</t>
  </si>
  <si>
    <t>byte</t>
  </si>
  <si>
    <t>V</t>
  </si>
  <si>
    <t>mm</t>
  </si>
  <si>
    <t>$ImageList.TagGroup0.ImageData.Calibrations.Dimension.TagGroup0.Units</t>
  </si>
  <si>
    <t>$ImageList.TagGroup0.ImageData.Calibrations.Dimension.TagGroup1.Units</t>
  </si>
  <si>
    <t>s</t>
  </si>
  <si>
    <t>標準データセットテンプレートRDE_ELECTRON_MICROSCOPE_STANDARDのTemDm3用RDEデータセットテンプレート</t>
    <rPh sb="0" eb="2">
      <t xml:space="preserve">ヒョウジュン </t>
    </rPh>
    <phoneticPr fontId="2"/>
  </si>
  <si>
    <t>for STEM</t>
    <phoneticPr fontId="2"/>
  </si>
  <si>
    <t>for TEM</t>
    <phoneticPr fontId="2"/>
  </si>
  <si>
    <t>for EELS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</si>
</sst>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5" sqref="B5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1478</v>
      </c>
      <c r="C1" s="22" t="s">
        <v>1384</v>
      </c>
    </row>
    <row r="2" spans="1:3" ht="18">
      <c r="A2" s="1" t="s">
        <v>1385</v>
      </c>
      <c r="B2" s="9" t="s">
        <v>1477</v>
      </c>
      <c r="C2" s="22" t="s">
        <v>1384</v>
      </c>
    </row>
    <row r="3" spans="1:3" ht="18">
      <c r="A3" s="1" t="s">
        <v>1386</v>
      </c>
      <c r="B3" s="9" t="s">
        <v>1477</v>
      </c>
      <c r="C3" s="22" t="s">
        <v>1387</v>
      </c>
    </row>
    <row r="4" spans="1:3">
      <c r="A4" s="1" t="s">
        <v>1388</v>
      </c>
      <c r="B4" s="22" t="s">
        <v>1973</v>
      </c>
      <c r="C4" s="22"/>
    </row>
    <row r="5" spans="1:3" ht="18">
      <c r="A5" s="21"/>
    </row>
    <row r="6" spans="1:3">
      <c r="A6" s="1" t="s">
        <v>1389</v>
      </c>
      <c r="B6" s="30">
        <v>46015</v>
      </c>
      <c r="C6" s="22"/>
    </row>
    <row r="7" spans="1:3">
      <c r="A7" s="1" t="s">
        <v>1390</v>
      </c>
      <c r="B7" s="22" t="s">
        <v>1469</v>
      </c>
      <c r="C7" s="22"/>
    </row>
    <row r="8" spans="1:3">
      <c r="A8" s="1" t="s">
        <v>1391</v>
      </c>
      <c r="B8" s="30">
        <v>46015</v>
      </c>
      <c r="C8" s="22"/>
    </row>
    <row r="9" spans="1:3">
      <c r="A9" s="1" t="s">
        <v>1392</v>
      </c>
      <c r="B9" s="22" t="s">
        <v>1469</v>
      </c>
      <c r="C9" s="22"/>
    </row>
    <row r="11" spans="1:3">
      <c r="A11" s="1" t="s">
        <v>1393</v>
      </c>
      <c r="B11" s="22"/>
      <c r="C11" s="22"/>
    </row>
    <row r="12" spans="1:3">
      <c r="A12" s="1" t="s">
        <v>1394</v>
      </c>
      <c r="B12" s="22"/>
      <c r="C12" s="22"/>
    </row>
    <row r="15" spans="1:3">
      <c r="A15" t="s">
        <v>1468</v>
      </c>
    </row>
    <row r="17" spans="1:2" ht="18" thickBot="1"/>
    <row r="18" spans="1:2" ht="18" thickTop="1">
      <c r="A18" s="31" t="s">
        <v>1454</v>
      </c>
      <c r="B18" s="32"/>
    </row>
    <row r="19" spans="1:2">
      <c r="A19" s="33"/>
      <c r="B19" s="34"/>
    </row>
    <row r="20" spans="1:2">
      <c r="A20" s="33" t="s">
        <v>1455</v>
      </c>
      <c r="B20" s="34"/>
    </row>
    <row r="21" spans="1:2">
      <c r="A21" s="33" t="s">
        <v>1456</v>
      </c>
      <c r="B21" s="34"/>
    </row>
    <row r="22" spans="1:2">
      <c r="A22" s="33"/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 t="s">
        <v>1459</v>
      </c>
      <c r="B25" s="34"/>
    </row>
    <row r="26" spans="1:2">
      <c r="A26" s="33" t="s">
        <v>1460</v>
      </c>
      <c r="B26" s="34"/>
    </row>
    <row r="27" spans="1:2">
      <c r="A27" s="33"/>
      <c r="B27" s="34"/>
    </row>
    <row r="28" spans="1:2">
      <c r="A28" s="33" t="s">
        <v>1461</v>
      </c>
      <c r="B28" s="34"/>
    </row>
    <row r="29" spans="1:2">
      <c r="A29" s="33"/>
      <c r="B29" s="34"/>
    </row>
    <row r="30" spans="1:2">
      <c r="A30" s="35"/>
      <c r="B30" s="34" t="s">
        <v>1462</v>
      </c>
    </row>
    <row r="31" spans="1:2">
      <c r="A31" s="33"/>
      <c r="B31" s="34" t="s">
        <v>1463</v>
      </c>
    </row>
    <row r="32" spans="1:2">
      <c r="A32" s="36"/>
      <c r="B32" s="34" t="s">
        <v>1464</v>
      </c>
    </row>
    <row r="33" spans="1:2">
      <c r="A33" s="37"/>
      <c r="B33" s="34" t="s">
        <v>1465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1466</v>
      </c>
      <c r="B36" s="34"/>
    </row>
    <row r="37" spans="1:2" ht="18" thickBot="1">
      <c r="A37" s="38" t="s">
        <v>1467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175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N3" sqref="N3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1431</v>
      </c>
      <c r="E1" s="1" t="s">
        <v>1446</v>
      </c>
      <c r="F1" s="1" t="s">
        <v>1447</v>
      </c>
      <c r="G1" s="1" t="s">
        <v>23</v>
      </c>
      <c r="H1" s="1" t="s">
        <v>24</v>
      </c>
      <c r="I1" s="1" t="s">
        <v>26</v>
      </c>
      <c r="J1" s="1" t="s">
        <v>1395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1399</v>
      </c>
      <c r="C2" s="2" t="s">
        <v>47</v>
      </c>
      <c r="D2" s="2" t="s">
        <v>1451</v>
      </c>
      <c r="E2" s="2" t="s">
        <v>1452</v>
      </c>
      <c r="F2" s="2" t="s">
        <v>1453</v>
      </c>
      <c r="G2" s="2" t="s">
        <v>48</v>
      </c>
      <c r="H2" s="2" t="s">
        <v>49</v>
      </c>
      <c r="I2" s="2" t="s">
        <v>46</v>
      </c>
      <c r="J2" s="2" t="s">
        <v>1398</v>
      </c>
      <c r="K2" s="2" t="s">
        <v>1396</v>
      </c>
      <c r="L2" s="2" t="s">
        <v>1397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>
      <c r="A3" s="41" t="s">
        <v>1429</v>
      </c>
      <c r="B3" s="3" t="s">
        <v>1404</v>
      </c>
      <c r="C3" s="9" t="s">
        <v>1594</v>
      </c>
      <c r="D3" s="5"/>
      <c r="E3" s="5"/>
      <c r="F3" s="5"/>
      <c r="G3" s="4" t="s">
        <v>1595</v>
      </c>
      <c r="H3" s="4" t="s">
        <v>1596</v>
      </c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 t="s">
        <v>1964</v>
      </c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1404</v>
      </c>
      <c r="C4" s="9" t="s">
        <v>1597</v>
      </c>
      <c r="D4" s="5"/>
      <c r="E4" s="5" t="s">
        <v>1598</v>
      </c>
      <c r="F4" s="5"/>
      <c r="G4" s="4" t="s">
        <v>1599</v>
      </c>
      <c r="H4" s="4" t="s">
        <v>1600</v>
      </c>
      <c r="I4" s="5"/>
      <c r="J4" s="6" t="s">
        <v>4</v>
      </c>
      <c r="K4" s="23" t="str">
        <f t="shared" ref="K4:K174" si="0">_xlfn.IFS(J4="integer","integer",J4="number","number",J4="array","array",J4="boolean","boolean",TRUE,"string")</f>
        <v>string</v>
      </c>
      <c r="L4" s="23" t="str">
        <f t="shared" ref="L4:L174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1404</v>
      </c>
      <c r="C5" s="9" t="s">
        <v>1601</v>
      </c>
      <c r="D5" s="5"/>
      <c r="E5" s="5"/>
      <c r="F5" s="5"/>
      <c r="G5" s="4" t="s">
        <v>1602</v>
      </c>
      <c r="H5" s="4" t="s">
        <v>1603</v>
      </c>
      <c r="I5" s="5"/>
      <c r="J5" s="6" t="s">
        <v>4</v>
      </c>
      <c r="K5" s="23" t="str">
        <f t="shared" ref="K5:K68" si="2">_xlfn.IFS(J5="integer","integer",J5="number","number",J5="array","array",J5="boolean","boolean",TRUE,"string")</f>
        <v>string</v>
      </c>
      <c r="L5" s="23" t="str">
        <f t="shared" ref="L5:L68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1404</v>
      </c>
      <c r="C6" s="9" t="s">
        <v>1604</v>
      </c>
      <c r="D6" s="5"/>
      <c r="E6" s="5"/>
      <c r="F6" s="5"/>
      <c r="G6" s="4" t="s">
        <v>1605</v>
      </c>
      <c r="H6" s="4" t="s">
        <v>1606</v>
      </c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/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1404</v>
      </c>
      <c r="C7" s="9" t="s">
        <v>1607</v>
      </c>
      <c r="D7" s="5"/>
      <c r="E7" s="5" t="s">
        <v>1608</v>
      </c>
      <c r="F7" s="5"/>
      <c r="G7" s="4" t="s">
        <v>1609</v>
      </c>
      <c r="H7" s="4" t="s">
        <v>1610</v>
      </c>
      <c r="I7" s="5"/>
      <c r="J7" s="6" t="s">
        <v>4</v>
      </c>
      <c r="K7" s="23" t="str">
        <f t="shared" si="2"/>
        <v>string</v>
      </c>
      <c r="L7" s="23" t="str">
        <f t="shared" si="3"/>
        <v/>
      </c>
      <c r="M7" s="20"/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1404</v>
      </c>
      <c r="C8" s="9" t="s">
        <v>1611</v>
      </c>
      <c r="D8" s="5"/>
      <c r="E8" s="5"/>
      <c r="F8" s="5"/>
      <c r="G8" s="4" t="s">
        <v>1612</v>
      </c>
      <c r="H8" s="4" t="s">
        <v>1613</v>
      </c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1404</v>
      </c>
      <c r="C9" s="9" t="s">
        <v>1614</v>
      </c>
      <c r="D9" s="5"/>
      <c r="E9" s="5"/>
      <c r="F9" s="5"/>
      <c r="G9" s="4" t="s">
        <v>1615</v>
      </c>
      <c r="H9" s="4" t="s">
        <v>1616</v>
      </c>
      <c r="I9" s="5"/>
      <c r="J9" s="6" t="s">
        <v>4</v>
      </c>
      <c r="K9" s="23" t="str">
        <f t="shared" si="2"/>
        <v>string</v>
      </c>
      <c r="L9" s="23" t="str">
        <f t="shared" si="3"/>
        <v/>
      </c>
      <c r="M9" s="20"/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1404</v>
      </c>
      <c r="C10" s="9" t="s">
        <v>1617</v>
      </c>
      <c r="D10" s="5"/>
      <c r="E10" s="5" t="s">
        <v>1618</v>
      </c>
      <c r="F10" s="5"/>
      <c r="G10" s="4" t="s">
        <v>1619</v>
      </c>
      <c r="H10" s="4" t="s">
        <v>1620</v>
      </c>
      <c r="I10" s="5"/>
      <c r="J10" s="6" t="s">
        <v>1470</v>
      </c>
      <c r="K10" s="23" t="str">
        <f t="shared" si="2"/>
        <v>integer</v>
      </c>
      <c r="L10" s="23" t="str">
        <f t="shared" si="3"/>
        <v/>
      </c>
      <c r="M10" s="20"/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1404</v>
      </c>
      <c r="C11" s="9" t="s">
        <v>1621</v>
      </c>
      <c r="D11" s="5"/>
      <c r="E11" s="5" t="s">
        <v>1618</v>
      </c>
      <c r="F11" s="5"/>
      <c r="G11" s="4" t="s">
        <v>1622</v>
      </c>
      <c r="H11" s="4" t="s">
        <v>1623</v>
      </c>
      <c r="I11" s="5"/>
      <c r="J11" s="6" t="s">
        <v>1470</v>
      </c>
      <c r="K11" s="23" t="str">
        <f t="shared" si="2"/>
        <v>integer</v>
      </c>
      <c r="L11" s="23" t="str">
        <f t="shared" si="3"/>
        <v/>
      </c>
      <c r="M11" s="20"/>
      <c r="N11" s="20"/>
      <c r="O11" s="20"/>
      <c r="P11" s="20"/>
      <c r="Q11" s="20"/>
      <c r="R11" s="20"/>
      <c r="S11" s="2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>
      <c r="A12" s="41"/>
      <c r="B12" s="3" t="s">
        <v>1404</v>
      </c>
      <c r="C12" s="9" t="s">
        <v>1624</v>
      </c>
      <c r="D12" s="5"/>
      <c r="E12" s="5" t="s">
        <v>1618</v>
      </c>
      <c r="F12" s="5"/>
      <c r="G12" s="4" t="s">
        <v>1625</v>
      </c>
      <c r="H12" s="4" t="s">
        <v>1626</v>
      </c>
      <c r="I12" s="5"/>
      <c r="J12" s="6" t="s">
        <v>1470</v>
      </c>
      <c r="K12" s="23" t="str">
        <f t="shared" si="2"/>
        <v>integer</v>
      </c>
      <c r="L12" s="23" t="str">
        <f t="shared" si="3"/>
        <v/>
      </c>
      <c r="M12" s="20"/>
      <c r="N12" s="20"/>
      <c r="O12" s="20"/>
      <c r="P12" s="20"/>
      <c r="Q12" s="20"/>
      <c r="R12" s="20"/>
      <c r="S12" s="2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>
      <c r="A13" s="41"/>
      <c r="B13" s="3" t="s">
        <v>1404</v>
      </c>
      <c r="C13" s="9" t="s">
        <v>1627</v>
      </c>
      <c r="D13" s="5"/>
      <c r="E13" s="5" t="s">
        <v>1628</v>
      </c>
      <c r="F13" s="5"/>
      <c r="G13" s="4" t="s">
        <v>1629</v>
      </c>
      <c r="H13" s="4" t="s">
        <v>1630</v>
      </c>
      <c r="I13" s="5"/>
      <c r="J13" s="6" t="s">
        <v>1470</v>
      </c>
      <c r="K13" s="23" t="str">
        <f t="shared" si="2"/>
        <v>integer</v>
      </c>
      <c r="L13" s="23" t="str">
        <f t="shared" si="3"/>
        <v/>
      </c>
      <c r="M13" s="20"/>
      <c r="N13" s="20"/>
      <c r="O13" s="20"/>
      <c r="P13" s="20"/>
      <c r="Q13" s="20"/>
      <c r="R13" s="20"/>
      <c r="S13" s="2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>
      <c r="A14" s="41"/>
      <c r="B14" s="3" t="s">
        <v>1404</v>
      </c>
      <c r="C14" s="9" t="s">
        <v>1631</v>
      </c>
      <c r="D14" s="5"/>
      <c r="E14" s="5" t="s">
        <v>1628</v>
      </c>
      <c r="F14" s="5"/>
      <c r="G14" s="4" t="s">
        <v>1632</v>
      </c>
      <c r="H14" s="4" t="s">
        <v>1633</v>
      </c>
      <c r="I14" s="5"/>
      <c r="J14" s="6" t="s">
        <v>1470</v>
      </c>
      <c r="K14" s="23" t="str">
        <f t="shared" si="2"/>
        <v>integer</v>
      </c>
      <c r="L14" s="23" t="str">
        <f t="shared" si="3"/>
        <v/>
      </c>
      <c r="M14" s="20"/>
      <c r="N14" s="20"/>
      <c r="O14" s="20"/>
      <c r="P14" s="20"/>
      <c r="Q14" s="20"/>
      <c r="R14" s="20"/>
      <c r="S14" s="2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>
      <c r="A15" s="41"/>
      <c r="B15" s="3" t="s">
        <v>1404</v>
      </c>
      <c r="C15" s="9" t="s">
        <v>1634</v>
      </c>
      <c r="D15" s="5"/>
      <c r="E15" s="5" t="s">
        <v>1628</v>
      </c>
      <c r="F15" s="5"/>
      <c r="G15" s="4" t="s">
        <v>1635</v>
      </c>
      <c r="H15" s="4" t="s">
        <v>1636</v>
      </c>
      <c r="I15" s="5"/>
      <c r="J15" s="6" t="s">
        <v>1470</v>
      </c>
      <c r="K15" s="23" t="str">
        <f t="shared" si="2"/>
        <v>integer</v>
      </c>
      <c r="L15" s="23" t="str">
        <f t="shared" si="3"/>
        <v/>
      </c>
      <c r="M15" s="20"/>
      <c r="N15" s="20"/>
      <c r="O15" s="20"/>
      <c r="P15" s="20"/>
      <c r="Q15" s="20"/>
      <c r="R15" s="20"/>
      <c r="S15" s="2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>
      <c r="A16" s="41"/>
      <c r="B16" s="3" t="s">
        <v>1404</v>
      </c>
      <c r="C16" s="9" t="s">
        <v>1637</v>
      </c>
      <c r="D16" s="5"/>
      <c r="E16" s="5" t="s">
        <v>1638</v>
      </c>
      <c r="F16" s="5" t="s">
        <v>1471</v>
      </c>
      <c r="G16" s="4" t="s">
        <v>1639</v>
      </c>
      <c r="H16" s="4" t="s">
        <v>1640</v>
      </c>
      <c r="I16" s="5"/>
      <c r="J16" s="6" t="s">
        <v>4</v>
      </c>
      <c r="K16" s="23" t="str">
        <f t="shared" si="2"/>
        <v>string</v>
      </c>
      <c r="L16" s="23" t="str">
        <f t="shared" si="3"/>
        <v/>
      </c>
      <c r="M16" s="20" t="s">
        <v>1965</v>
      </c>
      <c r="N16" s="20"/>
      <c r="O16" s="20"/>
      <c r="P16" s="20"/>
      <c r="Q16" s="20"/>
      <c r="R16" s="20"/>
      <c r="S16" s="2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>
      <c r="A17" s="41"/>
      <c r="B17" s="3" t="s">
        <v>1404</v>
      </c>
      <c r="C17" s="9" t="s">
        <v>1641</v>
      </c>
      <c r="D17" s="5"/>
      <c r="E17" s="5" t="s">
        <v>1642</v>
      </c>
      <c r="F17" s="5" t="s">
        <v>1471</v>
      </c>
      <c r="G17" s="4" t="s">
        <v>1643</v>
      </c>
      <c r="H17" s="4" t="s">
        <v>1644</v>
      </c>
      <c r="I17" s="5"/>
      <c r="J17" s="6" t="s">
        <v>4</v>
      </c>
      <c r="K17" s="23" t="str">
        <f t="shared" si="2"/>
        <v>string</v>
      </c>
      <c r="L17" s="23" t="str">
        <f t="shared" si="3"/>
        <v/>
      </c>
      <c r="M17" s="20"/>
      <c r="N17" s="20"/>
      <c r="O17" s="20"/>
      <c r="P17" s="20"/>
      <c r="Q17" s="20"/>
      <c r="R17" s="20"/>
      <c r="S17" s="2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 spans="1:30">
      <c r="A18" s="41"/>
      <c r="B18" s="3" t="s">
        <v>1404</v>
      </c>
      <c r="C18" s="9" t="s">
        <v>1645</v>
      </c>
      <c r="D18" s="5"/>
      <c r="E18" s="5" t="s">
        <v>1646</v>
      </c>
      <c r="F18" s="5" t="s">
        <v>1471</v>
      </c>
      <c r="G18" s="4" t="s">
        <v>1647</v>
      </c>
      <c r="H18" s="4" t="s">
        <v>1648</v>
      </c>
      <c r="I18" s="5"/>
      <c r="J18" s="6" t="s">
        <v>4</v>
      </c>
      <c r="K18" s="23" t="str">
        <f t="shared" si="2"/>
        <v>string</v>
      </c>
      <c r="L18" s="23" t="str">
        <f t="shared" si="3"/>
        <v/>
      </c>
      <c r="M18" s="20"/>
      <c r="N18" s="20"/>
      <c r="O18" s="20"/>
      <c r="P18" s="20"/>
      <c r="Q18" s="20"/>
      <c r="R18" s="20"/>
      <c r="S18" s="2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>
      <c r="A19" s="41"/>
      <c r="B19" s="3" t="s">
        <v>1404</v>
      </c>
      <c r="C19" s="9" t="s">
        <v>1649</v>
      </c>
      <c r="D19" s="5"/>
      <c r="E19" s="5" t="s">
        <v>1650</v>
      </c>
      <c r="F19" s="5" t="s">
        <v>1471</v>
      </c>
      <c r="G19" s="4" t="s">
        <v>1651</v>
      </c>
      <c r="H19" s="4" t="s">
        <v>1652</v>
      </c>
      <c r="I19" s="5"/>
      <c r="J19" s="6" t="s">
        <v>4</v>
      </c>
      <c r="K19" s="23" t="str">
        <f t="shared" si="2"/>
        <v>string</v>
      </c>
      <c r="L19" s="23" t="str">
        <f t="shared" si="3"/>
        <v/>
      </c>
      <c r="M19" s="20"/>
      <c r="N19" s="20"/>
      <c r="O19" s="20"/>
      <c r="P19" s="20"/>
      <c r="Q19" s="20"/>
      <c r="R19" s="20"/>
      <c r="S19" s="2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>
      <c r="A20" s="41"/>
      <c r="B20" s="3" t="s">
        <v>1404</v>
      </c>
      <c r="C20" s="9" t="s">
        <v>1653</v>
      </c>
      <c r="D20" s="5"/>
      <c r="E20" s="5" t="s">
        <v>1654</v>
      </c>
      <c r="F20" s="5"/>
      <c r="G20" s="4" t="s">
        <v>1655</v>
      </c>
      <c r="H20" s="4" t="s">
        <v>1656</v>
      </c>
      <c r="I20" s="5"/>
      <c r="J20" s="6" t="s">
        <v>4</v>
      </c>
      <c r="K20" s="23" t="str">
        <f t="shared" si="2"/>
        <v>string</v>
      </c>
      <c r="L20" s="23" t="str">
        <f t="shared" si="3"/>
        <v/>
      </c>
      <c r="M20" s="20"/>
      <c r="N20" s="20"/>
      <c r="O20" s="20"/>
      <c r="P20" s="20"/>
      <c r="Q20" s="20"/>
      <c r="R20" s="20"/>
      <c r="S20" s="2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spans="1:30">
      <c r="A21" s="41"/>
      <c r="B21" s="3" t="s">
        <v>1404</v>
      </c>
      <c r="C21" s="9" t="s">
        <v>1657</v>
      </c>
      <c r="D21" s="5"/>
      <c r="E21" s="5" t="s">
        <v>1658</v>
      </c>
      <c r="F21" s="5" t="s">
        <v>1471</v>
      </c>
      <c r="G21" s="4" t="s">
        <v>1659</v>
      </c>
      <c r="H21" s="4" t="s">
        <v>1660</v>
      </c>
      <c r="I21" s="5"/>
      <c r="J21" s="6" t="s">
        <v>4</v>
      </c>
      <c r="K21" s="23" t="str">
        <f t="shared" si="2"/>
        <v>string</v>
      </c>
      <c r="L21" s="23" t="str">
        <f t="shared" si="3"/>
        <v/>
      </c>
      <c r="M21" s="20"/>
      <c r="N21" s="20"/>
      <c r="O21" s="20"/>
      <c r="P21" s="20"/>
      <c r="Q21" s="20"/>
      <c r="R21" s="20"/>
      <c r="S21" s="2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spans="1:30">
      <c r="A22" s="41"/>
      <c r="B22" s="3" t="s">
        <v>1404</v>
      </c>
      <c r="C22" s="9" t="s">
        <v>1661</v>
      </c>
      <c r="D22" s="5"/>
      <c r="E22" s="5" t="s">
        <v>1662</v>
      </c>
      <c r="F22" s="5" t="s">
        <v>1471</v>
      </c>
      <c r="G22" s="4" t="s">
        <v>1663</v>
      </c>
      <c r="H22" s="4" t="s">
        <v>1664</v>
      </c>
      <c r="I22" s="5"/>
      <c r="J22" s="6" t="s">
        <v>4</v>
      </c>
      <c r="K22" s="23" t="str">
        <f t="shared" si="2"/>
        <v>string</v>
      </c>
      <c r="L22" s="23" t="str">
        <f t="shared" si="3"/>
        <v/>
      </c>
      <c r="M22" s="20"/>
      <c r="N22" s="20"/>
      <c r="O22" s="20"/>
      <c r="P22" s="20"/>
      <c r="Q22" s="20"/>
      <c r="R22" s="20"/>
      <c r="S22" s="2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spans="1:30">
      <c r="A23" s="41"/>
      <c r="B23" s="3" t="s">
        <v>1404</v>
      </c>
      <c r="C23" s="9" t="s">
        <v>1665</v>
      </c>
      <c r="D23" s="5"/>
      <c r="E23" s="5" t="s">
        <v>1666</v>
      </c>
      <c r="F23" s="5" t="s">
        <v>1471</v>
      </c>
      <c r="G23" s="4" t="s">
        <v>1472</v>
      </c>
      <c r="H23" s="4" t="s">
        <v>1473</v>
      </c>
      <c r="I23" s="5"/>
      <c r="J23" s="6" t="s">
        <v>4</v>
      </c>
      <c r="K23" s="23" t="str">
        <f t="shared" si="2"/>
        <v>string</v>
      </c>
      <c r="L23" s="23" t="str">
        <f t="shared" si="3"/>
        <v/>
      </c>
      <c r="M23" s="20" t="s">
        <v>1476</v>
      </c>
      <c r="N23" s="20"/>
      <c r="O23" s="20"/>
      <c r="P23" s="20"/>
      <c r="Q23" s="20"/>
      <c r="R23" s="20"/>
      <c r="S23" s="2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spans="1:30">
      <c r="A24" s="41"/>
      <c r="B24" s="3" t="s">
        <v>1404</v>
      </c>
      <c r="C24" s="9" t="s">
        <v>1667</v>
      </c>
      <c r="D24" s="5"/>
      <c r="E24" s="5" t="s">
        <v>1668</v>
      </c>
      <c r="F24" s="5" t="s">
        <v>1471</v>
      </c>
      <c r="G24" s="4" t="s">
        <v>1474</v>
      </c>
      <c r="H24" s="4" t="s">
        <v>1475</v>
      </c>
      <c r="I24" s="5"/>
      <c r="J24" s="6" t="s">
        <v>4</v>
      </c>
      <c r="K24" s="23" t="str">
        <f t="shared" si="2"/>
        <v>string</v>
      </c>
      <c r="L24" s="23" t="str">
        <f t="shared" si="3"/>
        <v/>
      </c>
      <c r="M24" s="20" t="s">
        <v>1476</v>
      </c>
      <c r="N24" s="20"/>
      <c r="O24" s="20"/>
      <c r="P24" s="20"/>
      <c r="Q24" s="20"/>
      <c r="R24" s="20"/>
      <c r="S24" s="2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>
      <c r="A25" s="41"/>
      <c r="B25" s="3" t="s">
        <v>1404</v>
      </c>
      <c r="C25" s="9" t="s">
        <v>1669</v>
      </c>
      <c r="D25" s="5"/>
      <c r="E25" s="5"/>
      <c r="F25" s="5"/>
      <c r="G25" s="4" t="s">
        <v>1670</v>
      </c>
      <c r="H25" s="4" t="s">
        <v>1671</v>
      </c>
      <c r="I25" s="5"/>
      <c r="J25" s="6" t="s">
        <v>4</v>
      </c>
      <c r="K25" s="23" t="str">
        <f t="shared" si="2"/>
        <v>string</v>
      </c>
      <c r="L25" s="23" t="str">
        <f t="shared" si="3"/>
        <v/>
      </c>
      <c r="M25" s="20" t="s">
        <v>1966</v>
      </c>
      <c r="N25" s="20"/>
      <c r="O25" s="20"/>
      <c r="P25" s="20"/>
      <c r="Q25" s="20"/>
      <c r="R25" s="20"/>
      <c r="S25" s="2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1:30">
      <c r="A26" s="41"/>
      <c r="B26" s="3" t="s">
        <v>1404</v>
      </c>
      <c r="C26" s="9" t="s">
        <v>1672</v>
      </c>
      <c r="D26" s="5"/>
      <c r="E26" s="5"/>
      <c r="F26" s="5"/>
      <c r="G26" s="4" t="s">
        <v>1673</v>
      </c>
      <c r="H26" s="4" t="s">
        <v>1674</v>
      </c>
      <c r="I26" s="5"/>
      <c r="J26" s="6" t="s">
        <v>4</v>
      </c>
      <c r="K26" s="23" t="str">
        <f t="shared" si="2"/>
        <v>string</v>
      </c>
      <c r="L26" s="23" t="str">
        <f t="shared" si="3"/>
        <v/>
      </c>
      <c r="M26" s="20" t="s">
        <v>1966</v>
      </c>
      <c r="N26" s="20"/>
      <c r="O26" s="20"/>
      <c r="P26" s="20"/>
      <c r="Q26" s="20"/>
      <c r="R26" s="20"/>
      <c r="S26" s="2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>
      <c r="A27" s="41"/>
      <c r="B27" s="3" t="s">
        <v>1404</v>
      </c>
      <c r="C27" s="9" t="s">
        <v>1675</v>
      </c>
      <c r="D27" s="5"/>
      <c r="E27" s="5" t="s">
        <v>1676</v>
      </c>
      <c r="F27" s="5" t="s">
        <v>1471</v>
      </c>
      <c r="G27" s="4" t="s">
        <v>1677</v>
      </c>
      <c r="H27" s="4" t="s">
        <v>1678</v>
      </c>
      <c r="I27" s="5"/>
      <c r="J27" s="6" t="s">
        <v>4</v>
      </c>
      <c r="K27" s="23" t="str">
        <f t="shared" si="2"/>
        <v>string</v>
      </c>
      <c r="L27" s="23" t="str">
        <f t="shared" si="3"/>
        <v/>
      </c>
      <c r="M27" s="20" t="s">
        <v>1967</v>
      </c>
      <c r="N27" s="20"/>
      <c r="O27" s="20"/>
      <c r="P27" s="20"/>
      <c r="Q27" s="20"/>
      <c r="R27" s="20"/>
      <c r="S27" s="2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 spans="1:30">
      <c r="A28" s="41"/>
      <c r="B28" s="3" t="s">
        <v>1404</v>
      </c>
      <c r="C28" s="9" t="s">
        <v>1679</v>
      </c>
      <c r="D28" s="5"/>
      <c r="E28" s="5" t="s">
        <v>1680</v>
      </c>
      <c r="F28" s="5"/>
      <c r="G28" s="4" t="s">
        <v>1681</v>
      </c>
      <c r="H28" s="4" t="s">
        <v>1682</v>
      </c>
      <c r="I28" s="5"/>
      <c r="J28" s="6" t="s">
        <v>4</v>
      </c>
      <c r="K28" s="23" t="str">
        <f t="shared" si="2"/>
        <v>string</v>
      </c>
      <c r="L28" s="23" t="str">
        <f t="shared" si="3"/>
        <v/>
      </c>
      <c r="M28" s="20"/>
      <c r="N28" s="20"/>
      <c r="O28" s="20"/>
      <c r="P28" s="20"/>
      <c r="Q28" s="20"/>
      <c r="R28" s="20"/>
      <c r="S28" s="2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 spans="1:30">
      <c r="A29" s="41"/>
      <c r="B29" s="3" t="s">
        <v>1404</v>
      </c>
      <c r="C29" s="9" t="s">
        <v>1683</v>
      </c>
      <c r="D29" s="5"/>
      <c r="E29" s="5" t="s">
        <v>1684</v>
      </c>
      <c r="F29" s="5" t="s">
        <v>1471</v>
      </c>
      <c r="G29" s="4" t="s">
        <v>1685</v>
      </c>
      <c r="H29" s="4" t="s">
        <v>1686</v>
      </c>
      <c r="I29" s="5"/>
      <c r="J29" s="6" t="s">
        <v>4</v>
      </c>
      <c r="K29" s="23" t="str">
        <f t="shared" si="2"/>
        <v>string</v>
      </c>
      <c r="L29" s="23" t="str">
        <f t="shared" si="3"/>
        <v/>
      </c>
      <c r="M29" s="20"/>
      <c r="N29" s="20"/>
      <c r="O29" s="20"/>
      <c r="P29" s="20"/>
      <c r="Q29" s="20"/>
      <c r="R29" s="20"/>
      <c r="S29" s="2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spans="1:30">
      <c r="A30" s="41"/>
      <c r="B30" s="3" t="s">
        <v>1404</v>
      </c>
      <c r="C30" s="9" t="s">
        <v>1687</v>
      </c>
      <c r="D30" s="5"/>
      <c r="E30" s="5" t="s">
        <v>1688</v>
      </c>
      <c r="F30" s="5" t="s">
        <v>1471</v>
      </c>
      <c r="G30" s="4" t="s">
        <v>1689</v>
      </c>
      <c r="H30" s="4" t="s">
        <v>1690</v>
      </c>
      <c r="I30" s="5"/>
      <c r="J30" s="6" t="s">
        <v>4</v>
      </c>
      <c r="K30" s="23" t="str">
        <f t="shared" si="2"/>
        <v>string</v>
      </c>
      <c r="L30" s="23" t="str">
        <f t="shared" si="3"/>
        <v/>
      </c>
      <c r="M30" s="20"/>
      <c r="N30" s="20"/>
      <c r="O30" s="20"/>
      <c r="P30" s="20"/>
      <c r="Q30" s="20"/>
      <c r="R30" s="20"/>
      <c r="S30" s="2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 spans="1:30">
      <c r="A31" s="41"/>
      <c r="B31" s="3" t="s">
        <v>1404</v>
      </c>
      <c r="C31" s="9" t="s">
        <v>1691</v>
      </c>
      <c r="D31" s="5"/>
      <c r="E31" s="5" t="s">
        <v>1692</v>
      </c>
      <c r="F31" s="5"/>
      <c r="G31" s="4" t="s">
        <v>1693</v>
      </c>
      <c r="H31" s="4" t="s">
        <v>1694</v>
      </c>
      <c r="I31" s="5"/>
      <c r="J31" s="6" t="s">
        <v>4</v>
      </c>
      <c r="K31" s="23" t="str">
        <f t="shared" si="2"/>
        <v>string</v>
      </c>
      <c r="L31" s="23" t="str">
        <f t="shared" si="3"/>
        <v/>
      </c>
      <c r="M31" s="20"/>
      <c r="N31" s="20"/>
      <c r="O31" s="20"/>
      <c r="P31" s="20"/>
      <c r="Q31" s="20"/>
      <c r="R31" s="20"/>
      <c r="S31" s="2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spans="1:30">
      <c r="A32" s="41"/>
      <c r="B32" s="3" t="s">
        <v>1404</v>
      </c>
      <c r="C32" s="9" t="s">
        <v>1695</v>
      </c>
      <c r="D32" s="5"/>
      <c r="E32" s="5" t="s">
        <v>1696</v>
      </c>
      <c r="F32" s="5"/>
      <c r="G32" s="4" t="s">
        <v>1697</v>
      </c>
      <c r="H32" s="4" t="s">
        <v>1698</v>
      </c>
      <c r="I32" s="5"/>
      <c r="J32" s="6" t="s">
        <v>4</v>
      </c>
      <c r="K32" s="23" t="str">
        <f t="shared" si="2"/>
        <v>string</v>
      </c>
      <c r="L32" s="23" t="str">
        <f t="shared" si="3"/>
        <v/>
      </c>
      <c r="M32" s="20"/>
      <c r="N32" s="20"/>
      <c r="O32" s="20"/>
      <c r="P32" s="20"/>
      <c r="Q32" s="20"/>
      <c r="R32" s="20"/>
      <c r="S32" s="2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 spans="1:30">
      <c r="A33" s="41"/>
      <c r="B33" s="3" t="s">
        <v>1404</v>
      </c>
      <c r="C33" s="9" t="s">
        <v>1699</v>
      </c>
      <c r="D33" s="5"/>
      <c r="E33" s="5" t="s">
        <v>1700</v>
      </c>
      <c r="F33" s="5"/>
      <c r="G33" s="4" t="s">
        <v>1701</v>
      </c>
      <c r="H33" s="4" t="s">
        <v>1702</v>
      </c>
      <c r="I33" s="5"/>
      <c r="J33" s="6" t="s">
        <v>4</v>
      </c>
      <c r="K33" s="23" t="str">
        <f t="shared" si="2"/>
        <v>string</v>
      </c>
      <c r="L33" s="23" t="str">
        <f t="shared" si="3"/>
        <v/>
      </c>
      <c r="M33" s="20"/>
      <c r="N33" s="20"/>
      <c r="O33" s="20"/>
      <c r="P33" s="20"/>
      <c r="Q33" s="20"/>
      <c r="R33" s="20"/>
      <c r="S33" s="2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spans="1:30">
      <c r="A34" s="41"/>
      <c r="B34" s="3" t="s">
        <v>1404</v>
      </c>
      <c r="C34" s="9" t="s">
        <v>1703</v>
      </c>
      <c r="D34" s="5"/>
      <c r="E34" s="5" t="s">
        <v>1704</v>
      </c>
      <c r="F34" s="5" t="s">
        <v>1471</v>
      </c>
      <c r="G34" s="4" t="s">
        <v>1705</v>
      </c>
      <c r="H34" s="4" t="s">
        <v>1706</v>
      </c>
      <c r="I34" s="5"/>
      <c r="J34" s="6" t="s">
        <v>4</v>
      </c>
      <c r="K34" s="23" t="str">
        <f t="shared" si="2"/>
        <v>string</v>
      </c>
      <c r="L34" s="23" t="str">
        <f t="shared" si="3"/>
        <v/>
      </c>
      <c r="M34" s="20"/>
      <c r="N34" s="20"/>
      <c r="O34" s="20"/>
      <c r="P34" s="20"/>
      <c r="Q34" s="20"/>
      <c r="R34" s="20"/>
      <c r="S34" s="2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spans="1:30">
      <c r="A35" s="41"/>
      <c r="B35" s="3" t="s">
        <v>1404</v>
      </c>
      <c r="C35" s="9" t="s">
        <v>1707</v>
      </c>
      <c r="D35" s="5"/>
      <c r="E35" s="5" t="s">
        <v>1708</v>
      </c>
      <c r="F35" s="5" t="s">
        <v>1471</v>
      </c>
      <c r="G35" s="4" t="s">
        <v>1709</v>
      </c>
      <c r="H35" s="4" t="s">
        <v>1710</v>
      </c>
      <c r="I35" s="5"/>
      <c r="J35" s="6" t="s">
        <v>4</v>
      </c>
      <c r="K35" s="23" t="str">
        <f t="shared" si="2"/>
        <v>string</v>
      </c>
      <c r="L35" s="23" t="str">
        <f t="shared" si="3"/>
        <v/>
      </c>
      <c r="M35" s="20" t="s">
        <v>1968</v>
      </c>
      <c r="N35" s="20"/>
      <c r="O35" s="20"/>
      <c r="P35" s="20"/>
      <c r="Q35" s="20"/>
      <c r="R35" s="20"/>
      <c r="S35" s="2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spans="1:30">
      <c r="A36" s="41"/>
      <c r="B36" s="3" t="s">
        <v>1404</v>
      </c>
      <c r="C36" s="9" t="s">
        <v>1711</v>
      </c>
      <c r="D36" s="5"/>
      <c r="E36" s="5" t="s">
        <v>1712</v>
      </c>
      <c r="F36" s="5"/>
      <c r="G36" s="4" t="s">
        <v>1713</v>
      </c>
      <c r="H36" s="4" t="s">
        <v>1714</v>
      </c>
      <c r="I36" s="5"/>
      <c r="J36" s="6" t="s">
        <v>4</v>
      </c>
      <c r="K36" s="23" t="str">
        <f t="shared" si="2"/>
        <v>string</v>
      </c>
      <c r="L36" s="23" t="str">
        <f t="shared" si="3"/>
        <v/>
      </c>
      <c r="M36" s="20"/>
      <c r="N36" s="20"/>
      <c r="O36" s="20"/>
      <c r="P36" s="20"/>
      <c r="Q36" s="20"/>
      <c r="R36" s="20"/>
      <c r="S36" s="2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spans="1:30">
      <c r="A37" s="41"/>
      <c r="B37" s="3" t="s">
        <v>1404</v>
      </c>
      <c r="C37" s="9" t="s">
        <v>1715</v>
      </c>
      <c r="D37" s="5"/>
      <c r="E37" s="5" t="s">
        <v>1716</v>
      </c>
      <c r="F37" s="5"/>
      <c r="G37" s="4" t="s">
        <v>1717</v>
      </c>
      <c r="H37" s="4" t="s">
        <v>1718</v>
      </c>
      <c r="I37" s="5"/>
      <c r="J37" s="6" t="s">
        <v>4</v>
      </c>
      <c r="K37" s="23" t="str">
        <f t="shared" si="2"/>
        <v>string</v>
      </c>
      <c r="L37" s="23" t="str">
        <f t="shared" si="3"/>
        <v/>
      </c>
      <c r="M37" s="20"/>
      <c r="N37" s="20"/>
      <c r="O37" s="20"/>
      <c r="P37" s="20"/>
      <c r="Q37" s="20"/>
      <c r="R37" s="20"/>
      <c r="S37" s="2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>
      <c r="A38" s="41"/>
      <c r="B38" s="3" t="s">
        <v>1404</v>
      </c>
      <c r="C38" s="9" t="s">
        <v>1719</v>
      </c>
      <c r="D38" s="5"/>
      <c r="E38" s="5" t="s">
        <v>1720</v>
      </c>
      <c r="F38" s="5"/>
      <c r="G38" s="4" t="s">
        <v>1721</v>
      </c>
      <c r="H38" s="4" t="s">
        <v>1722</v>
      </c>
      <c r="I38" s="5"/>
      <c r="J38" s="6" t="s">
        <v>4</v>
      </c>
      <c r="K38" s="23" t="str">
        <f t="shared" si="2"/>
        <v>string</v>
      </c>
      <c r="L38" s="23" t="str">
        <f t="shared" si="3"/>
        <v/>
      </c>
      <c r="M38" s="20"/>
      <c r="N38" s="20"/>
      <c r="O38" s="20"/>
      <c r="P38" s="20"/>
      <c r="Q38" s="20"/>
      <c r="R38" s="20"/>
      <c r="S38" s="2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>
      <c r="A39" s="41"/>
      <c r="B39" s="3" t="s">
        <v>1404</v>
      </c>
      <c r="C39" s="9" t="s">
        <v>1723</v>
      </c>
      <c r="D39" s="5"/>
      <c r="E39" s="5" t="s">
        <v>1724</v>
      </c>
      <c r="F39" s="5"/>
      <c r="G39" s="4" t="s">
        <v>1725</v>
      </c>
      <c r="H39" s="4" t="s">
        <v>1726</v>
      </c>
      <c r="I39" s="5"/>
      <c r="J39" s="6" t="s">
        <v>4</v>
      </c>
      <c r="K39" s="23" t="str">
        <f t="shared" si="2"/>
        <v>string</v>
      </c>
      <c r="L39" s="23" t="str">
        <f t="shared" si="3"/>
        <v/>
      </c>
      <c r="M39" s="20"/>
      <c r="N39" s="20"/>
      <c r="O39" s="20"/>
      <c r="P39" s="20"/>
      <c r="Q39" s="20"/>
      <c r="R39" s="20"/>
      <c r="S39" s="2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spans="1:30">
      <c r="A40" s="41"/>
      <c r="B40" s="3" t="s">
        <v>1404</v>
      </c>
      <c r="C40" s="9" t="s">
        <v>1727</v>
      </c>
      <c r="D40" s="5"/>
      <c r="E40" s="5" t="s">
        <v>1728</v>
      </c>
      <c r="F40" s="5" t="s">
        <v>1471</v>
      </c>
      <c r="G40" s="4" t="s">
        <v>1729</v>
      </c>
      <c r="H40" s="4" t="s">
        <v>1730</v>
      </c>
      <c r="I40" s="5"/>
      <c r="J40" s="6" t="s">
        <v>4</v>
      </c>
      <c r="K40" s="23" t="str">
        <f t="shared" si="2"/>
        <v>string</v>
      </c>
      <c r="L40" s="23" t="str">
        <f t="shared" si="3"/>
        <v/>
      </c>
      <c r="M40" s="20" t="s">
        <v>1969</v>
      </c>
      <c r="N40" s="20"/>
      <c r="O40" s="20"/>
      <c r="P40" s="20"/>
      <c r="Q40" s="20"/>
      <c r="R40" s="20"/>
      <c r="S40" s="2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spans="1:30">
      <c r="A41" s="41"/>
      <c r="B41" s="3" t="s">
        <v>1404</v>
      </c>
      <c r="C41" s="9" t="s">
        <v>1731</v>
      </c>
      <c r="D41" s="5"/>
      <c r="E41" s="5" t="s">
        <v>1732</v>
      </c>
      <c r="F41" s="5"/>
      <c r="G41" s="4" t="s">
        <v>1733</v>
      </c>
      <c r="H41" s="4" t="s">
        <v>1734</v>
      </c>
      <c r="I41" s="5"/>
      <c r="J41" s="6" t="s">
        <v>4</v>
      </c>
      <c r="K41" s="23" t="str">
        <f t="shared" si="2"/>
        <v>string</v>
      </c>
      <c r="L41" s="23" t="str">
        <f t="shared" si="3"/>
        <v/>
      </c>
      <c r="M41" s="20"/>
      <c r="N41" s="20"/>
      <c r="O41" s="20"/>
      <c r="P41" s="20"/>
      <c r="Q41" s="20"/>
      <c r="R41" s="20"/>
      <c r="S41" s="2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spans="1:30">
      <c r="A42" s="41"/>
      <c r="B42" s="3" t="s">
        <v>1404</v>
      </c>
      <c r="C42" s="9" t="s">
        <v>1735</v>
      </c>
      <c r="D42" s="5"/>
      <c r="E42" s="5" t="s">
        <v>1736</v>
      </c>
      <c r="F42" s="5"/>
      <c r="G42" s="4" t="s">
        <v>1737</v>
      </c>
      <c r="H42" s="4" t="s">
        <v>1738</v>
      </c>
      <c r="I42" s="5"/>
      <c r="J42" s="6" t="s">
        <v>4</v>
      </c>
      <c r="K42" s="23" t="str">
        <f t="shared" si="2"/>
        <v>string</v>
      </c>
      <c r="L42" s="23" t="str">
        <f t="shared" si="3"/>
        <v/>
      </c>
      <c r="M42" s="20"/>
      <c r="N42" s="20"/>
      <c r="O42" s="20"/>
      <c r="P42" s="20"/>
      <c r="Q42" s="20"/>
      <c r="R42" s="20"/>
      <c r="S42" s="2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spans="1:30">
      <c r="A43" s="41"/>
      <c r="B43" s="3" t="s">
        <v>1404</v>
      </c>
      <c r="C43" s="9" t="s">
        <v>1739</v>
      </c>
      <c r="D43" s="5"/>
      <c r="E43" s="5" t="s">
        <v>1598</v>
      </c>
      <c r="F43" s="5"/>
      <c r="G43" s="4" t="s">
        <v>1740</v>
      </c>
      <c r="H43" s="4" t="s">
        <v>1741</v>
      </c>
      <c r="I43" s="5"/>
      <c r="J43" s="6" t="s">
        <v>4</v>
      </c>
      <c r="K43" s="23" t="str">
        <f t="shared" si="2"/>
        <v>string</v>
      </c>
      <c r="L43" s="23" t="str">
        <f t="shared" si="3"/>
        <v/>
      </c>
      <c r="M43" s="20"/>
      <c r="N43" s="20"/>
      <c r="O43" s="20"/>
      <c r="P43" s="20"/>
      <c r="Q43" s="20"/>
      <c r="R43" s="20"/>
      <c r="S43" s="2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spans="1:30">
      <c r="A44" s="41"/>
      <c r="B44" s="3" t="s">
        <v>1404</v>
      </c>
      <c r="C44" s="9" t="s">
        <v>1742</v>
      </c>
      <c r="D44" s="5"/>
      <c r="E44" s="5" t="s">
        <v>1743</v>
      </c>
      <c r="F44" s="5"/>
      <c r="G44" s="4" t="s">
        <v>1744</v>
      </c>
      <c r="H44" s="4" t="s">
        <v>1745</v>
      </c>
      <c r="I44" s="5"/>
      <c r="J44" s="6" t="s">
        <v>4</v>
      </c>
      <c r="K44" s="23" t="str">
        <f t="shared" si="2"/>
        <v>string</v>
      </c>
      <c r="L44" s="23" t="str">
        <f t="shared" si="3"/>
        <v/>
      </c>
      <c r="M44" s="20"/>
      <c r="N44" s="20"/>
      <c r="O44" s="20"/>
      <c r="P44" s="20"/>
      <c r="Q44" s="20"/>
      <c r="R44" s="20"/>
      <c r="S44" s="2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 spans="1:30">
      <c r="A45" s="41"/>
      <c r="B45" s="3" t="s">
        <v>1404</v>
      </c>
      <c r="C45" s="9" t="s">
        <v>1746</v>
      </c>
      <c r="D45" s="5"/>
      <c r="E45" s="5"/>
      <c r="F45" s="5"/>
      <c r="G45" s="4" t="s">
        <v>1747</v>
      </c>
      <c r="H45" s="4" t="s">
        <v>1748</v>
      </c>
      <c r="I45" s="5"/>
      <c r="J45" s="6" t="s">
        <v>4</v>
      </c>
      <c r="K45" s="23" t="str">
        <f t="shared" si="2"/>
        <v>string</v>
      </c>
      <c r="L45" s="23" t="str">
        <f t="shared" si="3"/>
        <v/>
      </c>
      <c r="M45" s="20"/>
      <c r="N45" s="20"/>
      <c r="O45" s="20"/>
      <c r="P45" s="20"/>
      <c r="Q45" s="20"/>
      <c r="R45" s="20"/>
      <c r="S45" s="2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spans="1:30">
      <c r="A46" s="41"/>
      <c r="B46" s="3" t="s">
        <v>1404</v>
      </c>
      <c r="C46" s="9" t="s">
        <v>1749</v>
      </c>
      <c r="D46" s="5"/>
      <c r="E46" s="5" t="s">
        <v>1598</v>
      </c>
      <c r="F46" s="5"/>
      <c r="G46" s="4" t="s">
        <v>1599</v>
      </c>
      <c r="H46" s="4" t="s">
        <v>1600</v>
      </c>
      <c r="I46" s="5"/>
      <c r="J46" s="6" t="s">
        <v>4</v>
      </c>
      <c r="K46" s="23" t="str">
        <f t="shared" si="2"/>
        <v>string</v>
      </c>
      <c r="L46" s="23" t="str">
        <f t="shared" si="3"/>
        <v/>
      </c>
      <c r="M46" s="20"/>
      <c r="N46" s="20"/>
      <c r="O46" s="20"/>
      <c r="P46" s="20"/>
      <c r="Q46" s="20"/>
      <c r="R46" s="20"/>
      <c r="S46" s="2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 spans="1:30">
      <c r="A47" s="41"/>
      <c r="B47" s="3" t="s">
        <v>1404</v>
      </c>
      <c r="C47" s="9" t="s">
        <v>1750</v>
      </c>
      <c r="D47" s="5"/>
      <c r="E47" s="5"/>
      <c r="F47" s="5"/>
      <c r="G47" s="4" t="s">
        <v>1602</v>
      </c>
      <c r="H47" s="4" t="s">
        <v>1603</v>
      </c>
      <c r="I47" s="5"/>
      <c r="J47" s="6" t="s">
        <v>4</v>
      </c>
      <c r="K47" s="23" t="str">
        <f t="shared" si="2"/>
        <v>string</v>
      </c>
      <c r="L47" s="23" t="str">
        <f t="shared" si="3"/>
        <v/>
      </c>
      <c r="M47" s="20"/>
      <c r="N47" s="20"/>
      <c r="O47" s="20"/>
      <c r="P47" s="20"/>
      <c r="Q47" s="20"/>
      <c r="R47" s="20"/>
      <c r="S47" s="2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spans="1:30">
      <c r="A48" s="41"/>
      <c r="B48" s="3" t="s">
        <v>1404</v>
      </c>
      <c r="C48" s="9" t="s">
        <v>1751</v>
      </c>
      <c r="D48" s="5"/>
      <c r="E48" s="5"/>
      <c r="F48" s="5"/>
      <c r="G48" s="4" t="s">
        <v>1605</v>
      </c>
      <c r="H48" s="4" t="s">
        <v>1606</v>
      </c>
      <c r="I48" s="5"/>
      <c r="J48" s="6" t="s">
        <v>4</v>
      </c>
      <c r="K48" s="23" t="str">
        <f t="shared" si="2"/>
        <v>string</v>
      </c>
      <c r="L48" s="23" t="str">
        <f t="shared" si="3"/>
        <v/>
      </c>
      <c r="M48" s="20"/>
      <c r="N48" s="20"/>
      <c r="O48" s="20"/>
      <c r="P48" s="20"/>
      <c r="Q48" s="20"/>
      <c r="R48" s="20"/>
      <c r="S48" s="2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 spans="1:30">
      <c r="A49" s="41"/>
      <c r="B49" s="3" t="s">
        <v>1404</v>
      </c>
      <c r="C49" s="9" t="s">
        <v>1752</v>
      </c>
      <c r="D49" s="5"/>
      <c r="E49" s="5" t="s">
        <v>1608</v>
      </c>
      <c r="F49" s="5"/>
      <c r="G49" s="4" t="s">
        <v>1609</v>
      </c>
      <c r="H49" s="4" t="s">
        <v>1610</v>
      </c>
      <c r="I49" s="5"/>
      <c r="J49" s="6" t="s">
        <v>4</v>
      </c>
      <c r="K49" s="23" t="str">
        <f t="shared" si="2"/>
        <v>string</v>
      </c>
      <c r="L49" s="23" t="str">
        <f t="shared" si="3"/>
        <v/>
      </c>
      <c r="M49" s="20"/>
      <c r="N49" s="20"/>
      <c r="O49" s="20"/>
      <c r="P49" s="20"/>
      <c r="Q49" s="20"/>
      <c r="R49" s="20"/>
      <c r="S49" s="2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 spans="1:30">
      <c r="A50" s="41"/>
      <c r="B50" s="3" t="s">
        <v>1404</v>
      </c>
      <c r="C50" s="9" t="s">
        <v>1753</v>
      </c>
      <c r="D50" s="5"/>
      <c r="E50" s="5"/>
      <c r="F50" s="5"/>
      <c r="G50" s="4" t="s">
        <v>1612</v>
      </c>
      <c r="H50" s="4" t="s">
        <v>1613</v>
      </c>
      <c r="I50" s="5"/>
      <c r="J50" s="6" t="s">
        <v>4</v>
      </c>
      <c r="K50" s="23" t="str">
        <f t="shared" si="2"/>
        <v>string</v>
      </c>
      <c r="L50" s="23" t="str">
        <f t="shared" si="3"/>
        <v/>
      </c>
      <c r="M50" s="20"/>
      <c r="N50" s="20"/>
      <c r="O50" s="20"/>
      <c r="P50" s="20"/>
      <c r="Q50" s="20"/>
      <c r="R50" s="20"/>
      <c r="S50" s="2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spans="1:30">
      <c r="A51" s="41"/>
      <c r="B51" s="3" t="s">
        <v>1404</v>
      </c>
      <c r="C51" s="9" t="s">
        <v>1754</v>
      </c>
      <c r="D51" s="5"/>
      <c r="E51" s="5"/>
      <c r="F51" s="5"/>
      <c r="G51" s="4" t="s">
        <v>1615</v>
      </c>
      <c r="H51" s="4" t="s">
        <v>1616</v>
      </c>
      <c r="I51" s="5"/>
      <c r="J51" s="6" t="s">
        <v>4</v>
      </c>
      <c r="K51" s="23" t="str">
        <f t="shared" si="2"/>
        <v>string</v>
      </c>
      <c r="L51" s="23" t="str">
        <f t="shared" si="3"/>
        <v/>
      </c>
      <c r="M51" s="20"/>
      <c r="N51" s="20"/>
      <c r="O51" s="20"/>
      <c r="P51" s="20"/>
      <c r="Q51" s="20"/>
      <c r="R51" s="20"/>
      <c r="S51" s="2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 spans="1:30">
      <c r="A52" s="41"/>
      <c r="B52" s="3" t="s">
        <v>1404</v>
      </c>
      <c r="C52" s="9" t="s">
        <v>1755</v>
      </c>
      <c r="D52" s="5"/>
      <c r="E52" s="5" t="s">
        <v>1618</v>
      </c>
      <c r="F52" s="5"/>
      <c r="G52" s="4" t="s">
        <v>1619</v>
      </c>
      <c r="H52" s="4" t="s">
        <v>1620</v>
      </c>
      <c r="I52" s="5"/>
      <c r="J52" s="6" t="s">
        <v>1470</v>
      </c>
      <c r="K52" s="23" t="str">
        <f t="shared" si="2"/>
        <v>integer</v>
      </c>
      <c r="L52" s="23" t="str">
        <f t="shared" si="3"/>
        <v/>
      </c>
      <c r="M52" s="20"/>
      <c r="N52" s="20"/>
      <c r="O52" s="20"/>
      <c r="P52" s="20"/>
      <c r="Q52" s="20"/>
      <c r="R52" s="20"/>
      <c r="S52" s="2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 spans="1:30">
      <c r="A53" s="41"/>
      <c r="B53" s="3" t="s">
        <v>1404</v>
      </c>
      <c r="C53" s="9" t="s">
        <v>1756</v>
      </c>
      <c r="D53" s="5"/>
      <c r="E53" s="5" t="s">
        <v>1618</v>
      </c>
      <c r="F53" s="5"/>
      <c r="G53" s="4" t="s">
        <v>1622</v>
      </c>
      <c r="H53" s="4" t="s">
        <v>1623</v>
      </c>
      <c r="I53" s="5"/>
      <c r="J53" s="6" t="s">
        <v>1470</v>
      </c>
      <c r="K53" s="23" t="str">
        <f t="shared" si="2"/>
        <v>integer</v>
      </c>
      <c r="L53" s="23" t="str">
        <f t="shared" si="3"/>
        <v/>
      </c>
      <c r="M53" s="20"/>
      <c r="N53" s="20"/>
      <c r="O53" s="20"/>
      <c r="P53" s="20"/>
      <c r="Q53" s="20"/>
      <c r="R53" s="20"/>
      <c r="S53" s="2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 spans="1:30">
      <c r="A54" s="41"/>
      <c r="B54" s="3" t="s">
        <v>1404</v>
      </c>
      <c r="C54" s="9" t="s">
        <v>1757</v>
      </c>
      <c r="D54" s="5"/>
      <c r="E54" s="5" t="s">
        <v>1618</v>
      </c>
      <c r="F54" s="5"/>
      <c r="G54" s="4" t="s">
        <v>1625</v>
      </c>
      <c r="H54" s="4" t="s">
        <v>1626</v>
      </c>
      <c r="I54" s="5"/>
      <c r="J54" s="6" t="s">
        <v>1470</v>
      </c>
      <c r="K54" s="23" t="str">
        <f t="shared" si="2"/>
        <v>integer</v>
      </c>
      <c r="L54" s="23" t="str">
        <f t="shared" si="3"/>
        <v/>
      </c>
      <c r="M54" s="20"/>
      <c r="N54" s="20"/>
      <c r="O54" s="20"/>
      <c r="P54" s="20"/>
      <c r="Q54" s="20"/>
      <c r="R54" s="20"/>
      <c r="S54" s="2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 spans="1:30">
      <c r="A55" s="41"/>
      <c r="B55" s="3" t="s">
        <v>1404</v>
      </c>
      <c r="C55" s="9" t="s">
        <v>1758</v>
      </c>
      <c r="D55" s="5"/>
      <c r="E55" s="5" t="s">
        <v>1628</v>
      </c>
      <c r="F55" s="5"/>
      <c r="G55" s="4" t="s">
        <v>1629</v>
      </c>
      <c r="H55" s="4" t="s">
        <v>1630</v>
      </c>
      <c r="I55" s="5"/>
      <c r="J55" s="6" t="s">
        <v>1470</v>
      </c>
      <c r="K55" s="23" t="str">
        <f t="shared" si="2"/>
        <v>integer</v>
      </c>
      <c r="L55" s="23" t="str">
        <f t="shared" si="3"/>
        <v/>
      </c>
      <c r="M55" s="20"/>
      <c r="N55" s="20"/>
      <c r="O55" s="20"/>
      <c r="P55" s="20"/>
      <c r="Q55" s="20"/>
      <c r="R55" s="20"/>
      <c r="S55" s="2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</row>
    <row r="56" spans="1:30">
      <c r="A56" s="41"/>
      <c r="B56" s="3" t="s">
        <v>1404</v>
      </c>
      <c r="C56" s="9" t="s">
        <v>1759</v>
      </c>
      <c r="D56" s="5"/>
      <c r="E56" s="5" t="s">
        <v>1628</v>
      </c>
      <c r="F56" s="5"/>
      <c r="G56" s="4" t="s">
        <v>1632</v>
      </c>
      <c r="H56" s="4" t="s">
        <v>1633</v>
      </c>
      <c r="I56" s="5"/>
      <c r="J56" s="6" t="s">
        <v>1470</v>
      </c>
      <c r="K56" s="23" t="str">
        <f t="shared" si="2"/>
        <v>integer</v>
      </c>
      <c r="L56" s="23" t="str">
        <f t="shared" si="3"/>
        <v/>
      </c>
      <c r="M56" s="20"/>
      <c r="N56" s="20"/>
      <c r="O56" s="20"/>
      <c r="P56" s="20"/>
      <c r="Q56" s="20"/>
      <c r="R56" s="20"/>
      <c r="S56" s="2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</row>
    <row r="57" spans="1:30">
      <c r="A57" s="41"/>
      <c r="B57" s="3" t="s">
        <v>1404</v>
      </c>
      <c r="C57" s="9" t="s">
        <v>1760</v>
      </c>
      <c r="D57" s="5"/>
      <c r="E57" s="5" t="s">
        <v>1628</v>
      </c>
      <c r="F57" s="5"/>
      <c r="G57" s="4" t="s">
        <v>1635</v>
      </c>
      <c r="H57" s="4" t="s">
        <v>1636</v>
      </c>
      <c r="I57" s="5"/>
      <c r="J57" s="6" t="s">
        <v>1470</v>
      </c>
      <c r="K57" s="23" t="str">
        <f t="shared" si="2"/>
        <v>integer</v>
      </c>
      <c r="L57" s="23" t="str">
        <f t="shared" si="3"/>
        <v/>
      </c>
      <c r="M57" s="20"/>
      <c r="N57" s="20"/>
      <c r="O57" s="20"/>
      <c r="P57" s="20"/>
      <c r="Q57" s="20"/>
      <c r="R57" s="20"/>
      <c r="S57" s="2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</row>
    <row r="58" spans="1:30">
      <c r="A58" s="41"/>
      <c r="B58" s="3" t="s">
        <v>1404</v>
      </c>
      <c r="C58" s="9" t="s">
        <v>1761</v>
      </c>
      <c r="D58" s="5"/>
      <c r="E58" s="5" t="s">
        <v>1638</v>
      </c>
      <c r="F58" s="5" t="s">
        <v>1471</v>
      </c>
      <c r="G58" s="4" t="s">
        <v>1639</v>
      </c>
      <c r="H58" s="4" t="s">
        <v>1640</v>
      </c>
      <c r="I58" s="5"/>
      <c r="J58" s="6" t="s">
        <v>4</v>
      </c>
      <c r="K58" s="23" t="str">
        <f t="shared" si="2"/>
        <v>string</v>
      </c>
      <c r="L58" s="23" t="str">
        <f t="shared" si="3"/>
        <v/>
      </c>
      <c r="M58" s="20" t="s">
        <v>1965</v>
      </c>
      <c r="N58" s="20"/>
      <c r="O58" s="20"/>
      <c r="P58" s="20"/>
      <c r="Q58" s="20"/>
      <c r="R58" s="20"/>
      <c r="S58" s="2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</row>
    <row r="59" spans="1:30">
      <c r="A59" s="41"/>
      <c r="B59" s="3" t="s">
        <v>1404</v>
      </c>
      <c r="C59" s="9" t="s">
        <v>1762</v>
      </c>
      <c r="D59" s="5"/>
      <c r="E59" s="5" t="s">
        <v>1642</v>
      </c>
      <c r="F59" s="5" t="s">
        <v>1471</v>
      </c>
      <c r="G59" s="4" t="s">
        <v>1643</v>
      </c>
      <c r="H59" s="4" t="s">
        <v>1644</v>
      </c>
      <c r="I59" s="5"/>
      <c r="J59" s="6" t="s">
        <v>4</v>
      </c>
      <c r="K59" s="23" t="str">
        <f t="shared" si="2"/>
        <v>string</v>
      </c>
      <c r="L59" s="23" t="str">
        <f t="shared" si="3"/>
        <v/>
      </c>
      <c r="M59" s="20"/>
      <c r="N59" s="20"/>
      <c r="O59" s="20"/>
      <c r="P59" s="20"/>
      <c r="Q59" s="20"/>
      <c r="R59" s="20"/>
      <c r="S59" s="2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</row>
    <row r="60" spans="1:30">
      <c r="A60" s="41"/>
      <c r="B60" s="3" t="s">
        <v>1404</v>
      </c>
      <c r="C60" s="9" t="s">
        <v>1763</v>
      </c>
      <c r="D60" s="5"/>
      <c r="E60" s="5" t="s">
        <v>1646</v>
      </c>
      <c r="F60" s="5" t="s">
        <v>1471</v>
      </c>
      <c r="G60" s="4" t="s">
        <v>1764</v>
      </c>
      <c r="H60" s="4" t="s">
        <v>1765</v>
      </c>
      <c r="I60" s="5"/>
      <c r="J60" s="6" t="s">
        <v>4</v>
      </c>
      <c r="K60" s="23" t="str">
        <f t="shared" si="2"/>
        <v>string</v>
      </c>
      <c r="L60" s="23" t="str">
        <f t="shared" si="3"/>
        <v/>
      </c>
      <c r="M60" s="20"/>
      <c r="N60" s="20"/>
      <c r="O60" s="20"/>
      <c r="P60" s="20"/>
      <c r="Q60" s="20"/>
      <c r="R60" s="20"/>
      <c r="S60" s="2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</row>
    <row r="61" spans="1:30">
      <c r="A61" s="41"/>
      <c r="B61" s="3" t="s">
        <v>1404</v>
      </c>
      <c r="C61" s="9" t="s">
        <v>1766</v>
      </c>
      <c r="D61" s="5"/>
      <c r="E61" s="5" t="s">
        <v>1650</v>
      </c>
      <c r="F61" s="5" t="s">
        <v>1471</v>
      </c>
      <c r="G61" s="4" t="s">
        <v>1767</v>
      </c>
      <c r="H61" s="4" t="s">
        <v>1768</v>
      </c>
      <c r="I61" s="5"/>
      <c r="J61" s="6" t="s">
        <v>4</v>
      </c>
      <c r="K61" s="23" t="str">
        <f t="shared" si="2"/>
        <v>string</v>
      </c>
      <c r="L61" s="23" t="str">
        <f t="shared" si="3"/>
        <v/>
      </c>
      <c r="M61" s="20"/>
      <c r="N61" s="20"/>
      <c r="O61" s="20"/>
      <c r="P61" s="20"/>
      <c r="Q61" s="20"/>
      <c r="R61" s="20"/>
      <c r="S61" s="2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</row>
    <row r="62" spans="1:30">
      <c r="A62" s="41"/>
      <c r="B62" s="3" t="s">
        <v>1404</v>
      </c>
      <c r="C62" s="9" t="s">
        <v>1769</v>
      </c>
      <c r="D62" s="5"/>
      <c r="E62" s="5" t="s">
        <v>1654</v>
      </c>
      <c r="F62" s="5"/>
      <c r="G62" s="4" t="s">
        <v>1770</v>
      </c>
      <c r="H62" s="4" t="s">
        <v>1771</v>
      </c>
      <c r="I62" s="5"/>
      <c r="J62" s="6" t="s">
        <v>4</v>
      </c>
      <c r="K62" s="23" t="str">
        <f t="shared" si="2"/>
        <v>string</v>
      </c>
      <c r="L62" s="23" t="str">
        <f t="shared" si="3"/>
        <v/>
      </c>
      <c r="M62" s="20"/>
      <c r="N62" s="20"/>
      <c r="O62" s="20"/>
      <c r="P62" s="20"/>
      <c r="Q62" s="20"/>
      <c r="R62" s="20"/>
      <c r="S62" s="2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</row>
    <row r="63" spans="1:30">
      <c r="A63" s="41"/>
      <c r="B63" s="3" t="s">
        <v>1404</v>
      </c>
      <c r="C63" s="9" t="s">
        <v>1772</v>
      </c>
      <c r="D63" s="5"/>
      <c r="E63" s="5" t="s">
        <v>1658</v>
      </c>
      <c r="F63" s="5" t="s">
        <v>1471</v>
      </c>
      <c r="G63" s="4" t="s">
        <v>1659</v>
      </c>
      <c r="H63" s="4" t="s">
        <v>1660</v>
      </c>
      <c r="I63" s="5"/>
      <c r="J63" s="6" t="s">
        <v>4</v>
      </c>
      <c r="K63" s="23" t="str">
        <f t="shared" si="2"/>
        <v>string</v>
      </c>
      <c r="L63" s="23" t="str">
        <f t="shared" si="3"/>
        <v/>
      </c>
      <c r="M63" s="20" t="s">
        <v>1966</v>
      </c>
      <c r="N63" s="20"/>
      <c r="O63" s="20"/>
      <c r="P63" s="20"/>
      <c r="Q63" s="20"/>
      <c r="R63" s="20"/>
      <c r="S63" s="2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</row>
    <row r="64" spans="1:30">
      <c r="A64" s="41"/>
      <c r="B64" s="3" t="s">
        <v>1404</v>
      </c>
      <c r="C64" s="9" t="s">
        <v>1773</v>
      </c>
      <c r="D64" s="5"/>
      <c r="E64" s="5" t="s">
        <v>1662</v>
      </c>
      <c r="F64" s="5" t="s">
        <v>1471</v>
      </c>
      <c r="G64" s="4" t="s">
        <v>1663</v>
      </c>
      <c r="H64" s="4" t="s">
        <v>1664</v>
      </c>
      <c r="I64" s="5"/>
      <c r="J64" s="6" t="s">
        <v>4</v>
      </c>
      <c r="K64" s="23" t="str">
        <f t="shared" si="2"/>
        <v>string</v>
      </c>
      <c r="L64" s="23" t="str">
        <f t="shared" si="3"/>
        <v/>
      </c>
      <c r="M64" s="20" t="s">
        <v>1966</v>
      </c>
      <c r="N64" s="20"/>
      <c r="O64" s="20"/>
      <c r="P64" s="20"/>
      <c r="Q64" s="20"/>
      <c r="R64" s="20"/>
      <c r="S64" s="2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</row>
    <row r="65" spans="1:30">
      <c r="A65" s="41"/>
      <c r="B65" s="3" t="s">
        <v>1404</v>
      </c>
      <c r="C65" s="9" t="s">
        <v>1774</v>
      </c>
      <c r="D65" s="5"/>
      <c r="E65" s="5" t="s">
        <v>1666</v>
      </c>
      <c r="F65" s="5" t="s">
        <v>1471</v>
      </c>
      <c r="G65" s="4" t="s">
        <v>1472</v>
      </c>
      <c r="H65" s="4" t="s">
        <v>1473</v>
      </c>
      <c r="I65" s="5"/>
      <c r="J65" s="6" t="s">
        <v>4</v>
      </c>
      <c r="K65" s="23" t="str">
        <f t="shared" si="2"/>
        <v>string</v>
      </c>
      <c r="L65" s="23" t="str">
        <f t="shared" si="3"/>
        <v/>
      </c>
      <c r="M65" s="20" t="s">
        <v>1476</v>
      </c>
      <c r="N65" s="20"/>
      <c r="O65" s="20"/>
      <c r="P65" s="20"/>
      <c r="Q65" s="20"/>
      <c r="R65" s="20"/>
      <c r="S65" s="2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</row>
    <row r="66" spans="1:30">
      <c r="A66" s="41"/>
      <c r="B66" s="3" t="s">
        <v>1404</v>
      </c>
      <c r="C66" s="9" t="s">
        <v>1775</v>
      </c>
      <c r="D66" s="5"/>
      <c r="E66" s="5" t="s">
        <v>1668</v>
      </c>
      <c r="F66" s="5" t="s">
        <v>1471</v>
      </c>
      <c r="G66" s="4" t="s">
        <v>1474</v>
      </c>
      <c r="H66" s="4" t="s">
        <v>1475</v>
      </c>
      <c r="I66" s="5"/>
      <c r="J66" s="6" t="s">
        <v>4</v>
      </c>
      <c r="K66" s="23" t="str">
        <f t="shared" si="2"/>
        <v>string</v>
      </c>
      <c r="L66" s="23" t="str">
        <f t="shared" si="3"/>
        <v/>
      </c>
      <c r="M66" s="20" t="s">
        <v>1476</v>
      </c>
      <c r="N66" s="20"/>
      <c r="O66" s="20"/>
      <c r="P66" s="20"/>
      <c r="Q66" s="20"/>
      <c r="R66" s="20"/>
      <c r="S66" s="2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</row>
    <row r="67" spans="1:30">
      <c r="A67" s="41"/>
      <c r="B67" s="3" t="s">
        <v>1404</v>
      </c>
      <c r="C67" s="9" t="s">
        <v>1776</v>
      </c>
      <c r="D67" s="5"/>
      <c r="E67" s="5"/>
      <c r="F67" s="5"/>
      <c r="G67" s="4" t="s">
        <v>1670</v>
      </c>
      <c r="H67" s="4" t="s">
        <v>1671</v>
      </c>
      <c r="I67" s="5"/>
      <c r="J67" s="6" t="s">
        <v>4</v>
      </c>
      <c r="K67" s="23" t="str">
        <f t="shared" si="2"/>
        <v>string</v>
      </c>
      <c r="L67" s="23" t="str">
        <f t="shared" si="3"/>
        <v/>
      </c>
      <c r="M67" s="20" t="s">
        <v>1966</v>
      </c>
      <c r="N67" s="20"/>
      <c r="O67" s="20"/>
      <c r="P67" s="20"/>
      <c r="Q67" s="20"/>
      <c r="R67" s="20"/>
      <c r="S67" s="2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</row>
    <row r="68" spans="1:30">
      <c r="A68" s="41"/>
      <c r="B68" s="3" t="s">
        <v>1404</v>
      </c>
      <c r="C68" s="9" t="s">
        <v>1777</v>
      </c>
      <c r="D68" s="5"/>
      <c r="E68" s="5"/>
      <c r="F68" s="5"/>
      <c r="G68" s="4" t="s">
        <v>1673</v>
      </c>
      <c r="H68" s="4" t="s">
        <v>1674</v>
      </c>
      <c r="I68" s="5"/>
      <c r="J68" s="6" t="s">
        <v>4</v>
      </c>
      <c r="K68" s="23" t="str">
        <f t="shared" si="2"/>
        <v>string</v>
      </c>
      <c r="L68" s="23" t="str">
        <f t="shared" si="3"/>
        <v/>
      </c>
      <c r="M68" s="20" t="s">
        <v>1966</v>
      </c>
      <c r="N68" s="20"/>
      <c r="O68" s="20"/>
      <c r="P68" s="20"/>
      <c r="Q68" s="20"/>
      <c r="R68" s="20"/>
      <c r="S68" s="2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</row>
    <row r="69" spans="1:30">
      <c r="A69" s="41"/>
      <c r="B69" s="3" t="s">
        <v>1404</v>
      </c>
      <c r="C69" s="9" t="s">
        <v>1778</v>
      </c>
      <c r="D69" s="5"/>
      <c r="E69" s="5" t="s">
        <v>1676</v>
      </c>
      <c r="F69" s="5" t="s">
        <v>1471</v>
      </c>
      <c r="G69" s="4" t="s">
        <v>1779</v>
      </c>
      <c r="H69" s="4" t="s">
        <v>1780</v>
      </c>
      <c r="I69" s="5"/>
      <c r="J69" s="6" t="s">
        <v>4</v>
      </c>
      <c r="K69" s="23" t="str">
        <f t="shared" ref="K69:K132" si="4">_xlfn.IFS(J69="integer","integer",J69="number","number",J69="array","array",J69="boolean","boolean",TRUE,"string")</f>
        <v>string</v>
      </c>
      <c r="L69" s="23" t="str">
        <f t="shared" ref="L69:L132" si="5">_xlfn.IFS(J69="datetime","date-time",J69="duration","duration",TRUE,"")</f>
        <v/>
      </c>
      <c r="M69" s="20" t="s">
        <v>1967</v>
      </c>
      <c r="N69" s="20"/>
      <c r="O69" s="20"/>
      <c r="P69" s="20"/>
      <c r="Q69" s="20"/>
      <c r="R69" s="20"/>
      <c r="S69" s="2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</row>
    <row r="70" spans="1:30">
      <c r="A70" s="41"/>
      <c r="B70" s="3" t="s">
        <v>1404</v>
      </c>
      <c r="C70" s="9" t="s">
        <v>1781</v>
      </c>
      <c r="D70" s="5"/>
      <c r="E70" s="5" t="s">
        <v>1680</v>
      </c>
      <c r="F70" s="5"/>
      <c r="G70" s="4" t="s">
        <v>1681</v>
      </c>
      <c r="H70" s="4" t="s">
        <v>1682</v>
      </c>
      <c r="I70" s="5"/>
      <c r="J70" s="6" t="s">
        <v>4</v>
      </c>
      <c r="K70" s="23" t="str">
        <f t="shared" si="4"/>
        <v>string</v>
      </c>
      <c r="L70" s="23" t="str">
        <f t="shared" si="5"/>
        <v/>
      </c>
      <c r="M70" s="20"/>
      <c r="N70" s="20"/>
      <c r="O70" s="20"/>
      <c r="P70" s="20"/>
      <c r="Q70" s="20"/>
      <c r="R70" s="20"/>
      <c r="S70" s="2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</row>
    <row r="71" spans="1:30">
      <c r="A71" s="41"/>
      <c r="B71" s="3" t="s">
        <v>1404</v>
      </c>
      <c r="C71" s="9" t="s">
        <v>1782</v>
      </c>
      <c r="D71" s="5"/>
      <c r="E71" s="5" t="s">
        <v>1684</v>
      </c>
      <c r="F71" s="5" t="s">
        <v>1471</v>
      </c>
      <c r="G71" s="4" t="s">
        <v>1685</v>
      </c>
      <c r="H71" s="4" t="s">
        <v>1686</v>
      </c>
      <c r="I71" s="5"/>
      <c r="J71" s="6" t="s">
        <v>4</v>
      </c>
      <c r="K71" s="23" t="str">
        <f t="shared" si="4"/>
        <v>string</v>
      </c>
      <c r="L71" s="23" t="str">
        <f t="shared" si="5"/>
        <v/>
      </c>
      <c r="M71" s="20"/>
      <c r="N71" s="20"/>
      <c r="O71" s="20"/>
      <c r="P71" s="20"/>
      <c r="Q71" s="20"/>
      <c r="R71" s="20"/>
      <c r="S71" s="2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</row>
    <row r="72" spans="1:30">
      <c r="A72" s="41"/>
      <c r="B72" s="3" t="s">
        <v>1404</v>
      </c>
      <c r="C72" s="9" t="s">
        <v>1783</v>
      </c>
      <c r="D72" s="5"/>
      <c r="E72" s="5" t="s">
        <v>1688</v>
      </c>
      <c r="F72" s="5" t="s">
        <v>1471</v>
      </c>
      <c r="G72" s="4" t="s">
        <v>1689</v>
      </c>
      <c r="H72" s="4" t="s">
        <v>1690</v>
      </c>
      <c r="I72" s="5"/>
      <c r="J72" s="6" t="s">
        <v>4</v>
      </c>
      <c r="K72" s="23" t="str">
        <f t="shared" si="4"/>
        <v>string</v>
      </c>
      <c r="L72" s="23" t="str">
        <f t="shared" si="5"/>
        <v/>
      </c>
      <c r="M72" s="20"/>
      <c r="N72" s="20"/>
      <c r="O72" s="20"/>
      <c r="P72" s="20"/>
      <c r="Q72" s="20"/>
      <c r="R72" s="20"/>
      <c r="S72" s="2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</row>
    <row r="73" spans="1:30">
      <c r="A73" s="41"/>
      <c r="B73" s="3" t="s">
        <v>1404</v>
      </c>
      <c r="C73" s="9" t="s">
        <v>1784</v>
      </c>
      <c r="D73" s="5"/>
      <c r="E73" s="5" t="s">
        <v>1692</v>
      </c>
      <c r="F73" s="5"/>
      <c r="G73" s="4" t="s">
        <v>1693</v>
      </c>
      <c r="H73" s="4" t="s">
        <v>1694</v>
      </c>
      <c r="I73" s="5"/>
      <c r="J73" s="6" t="s">
        <v>4</v>
      </c>
      <c r="K73" s="23" t="str">
        <f t="shared" si="4"/>
        <v>string</v>
      </c>
      <c r="L73" s="23" t="str">
        <f t="shared" si="5"/>
        <v/>
      </c>
      <c r="M73" s="20"/>
      <c r="N73" s="20"/>
      <c r="O73" s="20"/>
      <c r="P73" s="20"/>
      <c r="Q73" s="20"/>
      <c r="R73" s="20"/>
      <c r="S73" s="2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</row>
    <row r="74" spans="1:30">
      <c r="A74" s="41"/>
      <c r="B74" s="3" t="s">
        <v>1404</v>
      </c>
      <c r="C74" s="9" t="s">
        <v>1785</v>
      </c>
      <c r="D74" s="5"/>
      <c r="E74" s="5" t="s">
        <v>1696</v>
      </c>
      <c r="F74" s="5"/>
      <c r="G74" s="4" t="s">
        <v>1697</v>
      </c>
      <c r="H74" s="4" t="s">
        <v>1698</v>
      </c>
      <c r="I74" s="5"/>
      <c r="J74" s="6" t="s">
        <v>4</v>
      </c>
      <c r="K74" s="23" t="str">
        <f t="shared" si="4"/>
        <v>string</v>
      </c>
      <c r="L74" s="23" t="str">
        <f t="shared" si="5"/>
        <v/>
      </c>
      <c r="M74" s="20"/>
      <c r="N74" s="20"/>
      <c r="O74" s="20"/>
      <c r="P74" s="20"/>
      <c r="Q74" s="20"/>
      <c r="R74" s="20"/>
      <c r="S74" s="2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</row>
    <row r="75" spans="1:30">
      <c r="A75" s="41"/>
      <c r="B75" s="3" t="s">
        <v>1404</v>
      </c>
      <c r="C75" s="9" t="s">
        <v>1786</v>
      </c>
      <c r="D75" s="5"/>
      <c r="E75" s="5" t="s">
        <v>1700</v>
      </c>
      <c r="F75" s="5"/>
      <c r="G75" s="4" t="s">
        <v>1701</v>
      </c>
      <c r="H75" s="4" t="s">
        <v>1702</v>
      </c>
      <c r="I75" s="5"/>
      <c r="J75" s="6" t="s">
        <v>4</v>
      </c>
      <c r="K75" s="23" t="str">
        <f t="shared" si="4"/>
        <v>string</v>
      </c>
      <c r="L75" s="23" t="str">
        <f t="shared" si="5"/>
        <v/>
      </c>
      <c r="M75" s="20"/>
      <c r="N75" s="20"/>
      <c r="O75" s="20"/>
      <c r="P75" s="20"/>
      <c r="Q75" s="20"/>
      <c r="R75" s="20"/>
      <c r="S75" s="2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</row>
    <row r="76" spans="1:30">
      <c r="A76" s="41"/>
      <c r="B76" s="3" t="s">
        <v>1404</v>
      </c>
      <c r="C76" s="9" t="s">
        <v>1787</v>
      </c>
      <c r="D76" s="5"/>
      <c r="E76" s="5" t="s">
        <v>1704</v>
      </c>
      <c r="F76" s="5" t="s">
        <v>1471</v>
      </c>
      <c r="G76" s="4" t="s">
        <v>1705</v>
      </c>
      <c r="H76" s="4" t="s">
        <v>1706</v>
      </c>
      <c r="I76" s="5"/>
      <c r="J76" s="6" t="s">
        <v>4</v>
      </c>
      <c r="K76" s="23" t="str">
        <f t="shared" si="4"/>
        <v>string</v>
      </c>
      <c r="L76" s="23" t="str">
        <f t="shared" si="5"/>
        <v/>
      </c>
      <c r="M76" s="20"/>
      <c r="N76" s="20"/>
      <c r="O76" s="20"/>
      <c r="P76" s="20"/>
      <c r="Q76" s="20"/>
      <c r="R76" s="20"/>
      <c r="S76" s="2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</row>
    <row r="77" spans="1:30">
      <c r="A77" s="41"/>
      <c r="B77" s="3" t="s">
        <v>1404</v>
      </c>
      <c r="C77" s="9" t="s">
        <v>1788</v>
      </c>
      <c r="D77" s="5"/>
      <c r="E77" s="5" t="s">
        <v>1708</v>
      </c>
      <c r="F77" s="5" t="s">
        <v>1471</v>
      </c>
      <c r="G77" s="4" t="s">
        <v>1709</v>
      </c>
      <c r="H77" s="4" t="s">
        <v>1710</v>
      </c>
      <c r="I77" s="5"/>
      <c r="J77" s="6" t="s">
        <v>4</v>
      </c>
      <c r="K77" s="23" t="str">
        <f t="shared" si="4"/>
        <v>string</v>
      </c>
      <c r="L77" s="23" t="str">
        <f t="shared" si="5"/>
        <v/>
      </c>
      <c r="M77" s="20" t="s">
        <v>1968</v>
      </c>
      <c r="N77" s="20"/>
      <c r="O77" s="20"/>
      <c r="P77" s="20"/>
      <c r="Q77" s="20"/>
      <c r="R77" s="20"/>
      <c r="S77" s="2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</row>
    <row r="78" spans="1:30">
      <c r="A78" s="41"/>
      <c r="B78" s="3" t="s">
        <v>1404</v>
      </c>
      <c r="C78" s="9" t="s">
        <v>1789</v>
      </c>
      <c r="D78" s="5"/>
      <c r="E78" s="5" t="s">
        <v>1712</v>
      </c>
      <c r="F78" s="5"/>
      <c r="G78" s="4" t="s">
        <v>1713</v>
      </c>
      <c r="H78" s="4" t="s">
        <v>1714</v>
      </c>
      <c r="I78" s="5"/>
      <c r="J78" s="6" t="s">
        <v>4</v>
      </c>
      <c r="K78" s="23" t="str">
        <f t="shared" si="4"/>
        <v>string</v>
      </c>
      <c r="L78" s="23" t="str">
        <f t="shared" si="5"/>
        <v/>
      </c>
      <c r="M78" s="20"/>
      <c r="N78" s="20"/>
      <c r="O78" s="20"/>
      <c r="P78" s="20"/>
      <c r="Q78" s="20"/>
      <c r="R78" s="20"/>
      <c r="S78" s="2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</row>
    <row r="79" spans="1:30">
      <c r="A79" s="41"/>
      <c r="B79" s="3" t="s">
        <v>1404</v>
      </c>
      <c r="C79" s="9" t="s">
        <v>1790</v>
      </c>
      <c r="D79" s="5"/>
      <c r="E79" s="5" t="s">
        <v>1716</v>
      </c>
      <c r="F79" s="5"/>
      <c r="G79" s="4" t="s">
        <v>1717</v>
      </c>
      <c r="H79" s="4" t="s">
        <v>1718</v>
      </c>
      <c r="I79" s="5"/>
      <c r="J79" s="6" t="s">
        <v>4</v>
      </c>
      <c r="K79" s="23" t="str">
        <f t="shared" si="4"/>
        <v>string</v>
      </c>
      <c r="L79" s="23" t="str">
        <f t="shared" si="5"/>
        <v/>
      </c>
      <c r="M79" s="20"/>
      <c r="N79" s="20"/>
      <c r="O79" s="20"/>
      <c r="P79" s="20"/>
      <c r="Q79" s="20"/>
      <c r="R79" s="20"/>
      <c r="S79" s="2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</row>
    <row r="80" spans="1:30">
      <c r="A80" s="41"/>
      <c r="B80" s="3" t="s">
        <v>1404</v>
      </c>
      <c r="C80" s="9" t="s">
        <v>1791</v>
      </c>
      <c r="D80" s="5"/>
      <c r="E80" s="5" t="s">
        <v>1720</v>
      </c>
      <c r="F80" s="5"/>
      <c r="G80" s="4" t="s">
        <v>1721</v>
      </c>
      <c r="H80" s="4" t="s">
        <v>1722</v>
      </c>
      <c r="I80" s="5"/>
      <c r="J80" s="6" t="s">
        <v>4</v>
      </c>
      <c r="K80" s="23" t="str">
        <f t="shared" si="4"/>
        <v>string</v>
      </c>
      <c r="L80" s="23" t="str">
        <f t="shared" si="5"/>
        <v/>
      </c>
      <c r="M80" s="20"/>
      <c r="N80" s="20"/>
      <c r="O80" s="20"/>
      <c r="P80" s="20"/>
      <c r="Q80" s="20"/>
      <c r="R80" s="20"/>
      <c r="S80" s="2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</row>
    <row r="81" spans="1:30">
      <c r="A81" s="41"/>
      <c r="B81" s="3" t="s">
        <v>1404</v>
      </c>
      <c r="C81" s="9" t="s">
        <v>1792</v>
      </c>
      <c r="D81" s="5"/>
      <c r="E81" s="5" t="s">
        <v>1724</v>
      </c>
      <c r="F81" s="5"/>
      <c r="G81" s="4" t="s">
        <v>1725</v>
      </c>
      <c r="H81" s="4" t="s">
        <v>1726</v>
      </c>
      <c r="I81" s="5"/>
      <c r="J81" s="6" t="s">
        <v>4</v>
      </c>
      <c r="K81" s="23" t="str">
        <f t="shared" si="4"/>
        <v>string</v>
      </c>
      <c r="L81" s="23" t="str">
        <f t="shared" si="5"/>
        <v/>
      </c>
      <c r="M81" s="20"/>
      <c r="N81" s="20"/>
      <c r="O81" s="20"/>
      <c r="P81" s="20"/>
      <c r="Q81" s="20"/>
      <c r="R81" s="20"/>
      <c r="S81" s="2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</row>
    <row r="82" spans="1:30">
      <c r="A82" s="41"/>
      <c r="B82" s="3" t="s">
        <v>1404</v>
      </c>
      <c r="C82" s="9" t="s">
        <v>1793</v>
      </c>
      <c r="D82" s="5"/>
      <c r="E82" s="5" t="s">
        <v>1728</v>
      </c>
      <c r="F82" s="5" t="s">
        <v>1471</v>
      </c>
      <c r="G82" s="4" t="s">
        <v>1729</v>
      </c>
      <c r="H82" s="4" t="s">
        <v>1730</v>
      </c>
      <c r="I82" s="5"/>
      <c r="J82" s="6" t="s">
        <v>4</v>
      </c>
      <c r="K82" s="23" t="str">
        <f t="shared" si="4"/>
        <v>string</v>
      </c>
      <c r="L82" s="23" t="str">
        <f t="shared" si="5"/>
        <v/>
      </c>
      <c r="M82" s="20" t="s">
        <v>1969</v>
      </c>
      <c r="N82" s="20"/>
      <c r="O82" s="20"/>
      <c r="P82" s="20"/>
      <c r="Q82" s="20"/>
      <c r="R82" s="20"/>
      <c r="S82" s="2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</row>
    <row r="83" spans="1:30">
      <c r="A83" s="41"/>
      <c r="B83" s="3" t="s">
        <v>1404</v>
      </c>
      <c r="C83" s="9" t="s">
        <v>1794</v>
      </c>
      <c r="D83" s="5"/>
      <c r="E83" s="5" t="s">
        <v>1732</v>
      </c>
      <c r="F83" s="5"/>
      <c r="G83" s="4" t="s">
        <v>1733</v>
      </c>
      <c r="H83" s="4" t="s">
        <v>1734</v>
      </c>
      <c r="I83" s="5"/>
      <c r="J83" s="6" t="s">
        <v>4</v>
      </c>
      <c r="K83" s="23" t="str">
        <f t="shared" si="4"/>
        <v>string</v>
      </c>
      <c r="L83" s="23" t="str">
        <f t="shared" si="5"/>
        <v/>
      </c>
      <c r="M83" s="20"/>
      <c r="N83" s="20"/>
      <c r="O83" s="20"/>
      <c r="P83" s="20"/>
      <c r="Q83" s="20"/>
      <c r="R83" s="20"/>
      <c r="S83" s="2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</row>
    <row r="84" spans="1:30">
      <c r="A84" s="41"/>
      <c r="B84" s="3" t="s">
        <v>1404</v>
      </c>
      <c r="C84" s="9" t="s">
        <v>1795</v>
      </c>
      <c r="D84" s="5"/>
      <c r="E84" s="5" t="s">
        <v>1736</v>
      </c>
      <c r="F84" s="5"/>
      <c r="G84" s="4" t="s">
        <v>1737</v>
      </c>
      <c r="H84" s="4" t="s">
        <v>1738</v>
      </c>
      <c r="I84" s="5"/>
      <c r="J84" s="6" t="s">
        <v>4</v>
      </c>
      <c r="K84" s="23" t="str">
        <f t="shared" si="4"/>
        <v>string</v>
      </c>
      <c r="L84" s="23" t="str">
        <f t="shared" si="5"/>
        <v/>
      </c>
      <c r="M84" s="20"/>
      <c r="N84" s="20"/>
      <c r="O84" s="20"/>
      <c r="P84" s="20"/>
      <c r="Q84" s="20"/>
      <c r="R84" s="20"/>
      <c r="S84" s="2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</row>
    <row r="85" spans="1:30">
      <c r="A85" s="41"/>
      <c r="B85" s="3" t="s">
        <v>1404</v>
      </c>
      <c r="C85" s="9" t="s">
        <v>1796</v>
      </c>
      <c r="D85" s="5"/>
      <c r="E85" s="5" t="s">
        <v>1598</v>
      </c>
      <c r="F85" s="5"/>
      <c r="G85" s="4" t="s">
        <v>1740</v>
      </c>
      <c r="H85" s="4" t="s">
        <v>1741</v>
      </c>
      <c r="I85" s="5"/>
      <c r="J85" s="6" t="s">
        <v>4</v>
      </c>
      <c r="K85" s="23" t="str">
        <f t="shared" si="4"/>
        <v>string</v>
      </c>
      <c r="L85" s="23" t="str">
        <f t="shared" si="5"/>
        <v/>
      </c>
      <c r="M85" s="20"/>
      <c r="N85" s="20"/>
      <c r="O85" s="20"/>
      <c r="P85" s="20"/>
      <c r="Q85" s="20"/>
      <c r="R85" s="20"/>
      <c r="S85" s="2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</row>
    <row r="86" spans="1:30">
      <c r="A86" s="41"/>
      <c r="B86" s="3" t="s">
        <v>1404</v>
      </c>
      <c r="C86" s="9" t="s">
        <v>1797</v>
      </c>
      <c r="D86" s="5"/>
      <c r="E86" s="5" t="s">
        <v>1743</v>
      </c>
      <c r="F86" s="5"/>
      <c r="G86" s="4" t="s">
        <v>1744</v>
      </c>
      <c r="H86" s="4" t="s">
        <v>1745</v>
      </c>
      <c r="I86" s="5"/>
      <c r="J86" s="6" t="s">
        <v>4</v>
      </c>
      <c r="K86" s="23" t="str">
        <f t="shared" si="4"/>
        <v>string</v>
      </c>
      <c r="L86" s="23" t="str">
        <f t="shared" si="5"/>
        <v/>
      </c>
      <c r="M86" s="20"/>
      <c r="N86" s="20"/>
      <c r="O86" s="20"/>
      <c r="P86" s="20"/>
      <c r="Q86" s="20"/>
      <c r="R86" s="20"/>
      <c r="S86" s="2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</row>
    <row r="87" spans="1:30">
      <c r="A87" s="41"/>
      <c r="B87" s="3" t="s">
        <v>1404</v>
      </c>
      <c r="C87" s="9" t="s">
        <v>1798</v>
      </c>
      <c r="D87" s="5"/>
      <c r="E87" s="5"/>
      <c r="F87" s="5"/>
      <c r="G87" s="4" t="s">
        <v>1747</v>
      </c>
      <c r="H87" s="4" t="s">
        <v>1748</v>
      </c>
      <c r="I87" s="5"/>
      <c r="J87" s="6" t="s">
        <v>4</v>
      </c>
      <c r="K87" s="23" t="str">
        <f t="shared" si="4"/>
        <v>string</v>
      </c>
      <c r="L87" s="23" t="str">
        <f t="shared" si="5"/>
        <v/>
      </c>
      <c r="M87" s="20"/>
      <c r="N87" s="20"/>
      <c r="O87" s="20"/>
      <c r="P87" s="20"/>
      <c r="Q87" s="20"/>
      <c r="R87" s="20"/>
      <c r="S87" s="2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</row>
    <row r="88" spans="1:30">
      <c r="A88" s="41"/>
      <c r="B88" s="3" t="s">
        <v>1404</v>
      </c>
      <c r="C88" s="9" t="s">
        <v>1799</v>
      </c>
      <c r="D88" s="5"/>
      <c r="E88" s="5" t="s">
        <v>1598</v>
      </c>
      <c r="F88" s="5"/>
      <c r="G88" s="4" t="s">
        <v>1599</v>
      </c>
      <c r="H88" s="4" t="s">
        <v>1600</v>
      </c>
      <c r="I88" s="5"/>
      <c r="J88" s="6" t="s">
        <v>4</v>
      </c>
      <c r="K88" s="23" t="str">
        <f t="shared" si="4"/>
        <v>string</v>
      </c>
      <c r="L88" s="23" t="str">
        <f t="shared" si="5"/>
        <v/>
      </c>
      <c r="M88" s="20"/>
      <c r="N88" s="20"/>
      <c r="O88" s="20"/>
      <c r="P88" s="20"/>
      <c r="Q88" s="20"/>
      <c r="R88" s="20"/>
      <c r="S88" s="2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</row>
    <row r="89" spans="1:30">
      <c r="A89" s="41"/>
      <c r="B89" s="3" t="s">
        <v>1404</v>
      </c>
      <c r="C89" s="9" t="s">
        <v>1800</v>
      </c>
      <c r="D89" s="5"/>
      <c r="E89" s="5"/>
      <c r="F89" s="5"/>
      <c r="G89" s="4" t="s">
        <v>1602</v>
      </c>
      <c r="H89" s="4" t="s">
        <v>1603</v>
      </c>
      <c r="I89" s="5"/>
      <c r="J89" s="6" t="s">
        <v>4</v>
      </c>
      <c r="K89" s="23" t="str">
        <f t="shared" si="4"/>
        <v>string</v>
      </c>
      <c r="L89" s="23" t="str">
        <f t="shared" si="5"/>
        <v/>
      </c>
      <c r="M89" s="20"/>
      <c r="N89" s="20"/>
      <c r="O89" s="20"/>
      <c r="P89" s="20"/>
      <c r="Q89" s="20"/>
      <c r="R89" s="20"/>
      <c r="S89" s="2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</row>
    <row r="90" spans="1:30">
      <c r="A90" s="41"/>
      <c r="B90" s="3" t="s">
        <v>1404</v>
      </c>
      <c r="C90" s="9" t="s">
        <v>1801</v>
      </c>
      <c r="D90" s="5"/>
      <c r="E90" s="5"/>
      <c r="F90" s="5"/>
      <c r="G90" s="4" t="s">
        <v>1605</v>
      </c>
      <c r="H90" s="4" t="s">
        <v>1606</v>
      </c>
      <c r="I90" s="5"/>
      <c r="J90" s="6" t="s">
        <v>4</v>
      </c>
      <c r="K90" s="23" t="str">
        <f t="shared" si="4"/>
        <v>string</v>
      </c>
      <c r="L90" s="23" t="str">
        <f t="shared" si="5"/>
        <v/>
      </c>
      <c r="M90" s="20"/>
      <c r="N90" s="20"/>
      <c r="O90" s="20"/>
      <c r="P90" s="20"/>
      <c r="Q90" s="20"/>
      <c r="R90" s="20"/>
      <c r="S90" s="2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</row>
    <row r="91" spans="1:30">
      <c r="A91" s="41"/>
      <c r="B91" s="3" t="s">
        <v>1404</v>
      </c>
      <c r="C91" s="9" t="s">
        <v>1802</v>
      </c>
      <c r="D91" s="5"/>
      <c r="E91" s="5" t="s">
        <v>1803</v>
      </c>
      <c r="F91" s="5"/>
      <c r="G91" s="4" t="s">
        <v>1609</v>
      </c>
      <c r="H91" s="4" t="s">
        <v>1610</v>
      </c>
      <c r="I91" s="5"/>
      <c r="J91" s="6" t="s">
        <v>4</v>
      </c>
      <c r="K91" s="23" t="str">
        <f t="shared" si="4"/>
        <v>string</v>
      </c>
      <c r="L91" s="23" t="str">
        <f t="shared" si="5"/>
        <v/>
      </c>
      <c r="M91" s="20"/>
      <c r="N91" s="20"/>
      <c r="O91" s="20"/>
      <c r="P91" s="20"/>
      <c r="Q91" s="20"/>
      <c r="R91" s="20"/>
      <c r="S91" s="2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</row>
    <row r="92" spans="1:30">
      <c r="A92" s="41"/>
      <c r="B92" s="3" t="s">
        <v>1404</v>
      </c>
      <c r="C92" s="9" t="s">
        <v>1804</v>
      </c>
      <c r="D92" s="5"/>
      <c r="E92" s="5"/>
      <c r="F92" s="5"/>
      <c r="G92" s="4" t="s">
        <v>1612</v>
      </c>
      <c r="H92" s="4" t="s">
        <v>1613</v>
      </c>
      <c r="I92" s="5"/>
      <c r="J92" s="6" t="s">
        <v>4</v>
      </c>
      <c r="K92" s="23" t="str">
        <f t="shared" si="4"/>
        <v>string</v>
      </c>
      <c r="L92" s="23" t="str">
        <f t="shared" si="5"/>
        <v/>
      </c>
      <c r="M92" s="20"/>
      <c r="N92" s="20"/>
      <c r="O92" s="20"/>
      <c r="P92" s="20"/>
      <c r="Q92" s="20"/>
      <c r="R92" s="20"/>
      <c r="S92" s="2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</row>
    <row r="93" spans="1:30">
      <c r="A93" s="41"/>
      <c r="B93" s="3" t="s">
        <v>1404</v>
      </c>
      <c r="C93" s="9" t="s">
        <v>1805</v>
      </c>
      <c r="D93" s="5"/>
      <c r="E93" s="5"/>
      <c r="F93" s="5"/>
      <c r="G93" s="4" t="s">
        <v>1615</v>
      </c>
      <c r="H93" s="4" t="s">
        <v>1616</v>
      </c>
      <c r="I93" s="5"/>
      <c r="J93" s="6" t="s">
        <v>4</v>
      </c>
      <c r="K93" s="23" t="str">
        <f t="shared" si="4"/>
        <v>string</v>
      </c>
      <c r="L93" s="23" t="str">
        <f t="shared" si="5"/>
        <v/>
      </c>
      <c r="M93" s="20"/>
      <c r="N93" s="20"/>
      <c r="O93" s="20"/>
      <c r="P93" s="20"/>
      <c r="Q93" s="20"/>
      <c r="R93" s="20"/>
      <c r="S93" s="2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</row>
    <row r="94" spans="1:30">
      <c r="A94" s="41"/>
      <c r="B94" s="3" t="s">
        <v>1404</v>
      </c>
      <c r="C94" s="9" t="s">
        <v>1806</v>
      </c>
      <c r="D94" s="5"/>
      <c r="E94" s="5" t="s">
        <v>1618</v>
      </c>
      <c r="F94" s="5"/>
      <c r="G94" s="4" t="s">
        <v>1619</v>
      </c>
      <c r="H94" s="4" t="s">
        <v>1620</v>
      </c>
      <c r="I94" s="5"/>
      <c r="J94" s="6" t="s">
        <v>1470</v>
      </c>
      <c r="K94" s="23" t="str">
        <f t="shared" si="4"/>
        <v>integer</v>
      </c>
      <c r="L94" s="23" t="str">
        <f t="shared" si="5"/>
        <v/>
      </c>
      <c r="M94" s="20"/>
      <c r="N94" s="20"/>
      <c r="O94" s="20"/>
      <c r="P94" s="20"/>
      <c r="Q94" s="20"/>
      <c r="R94" s="20"/>
      <c r="S94" s="2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</row>
    <row r="95" spans="1:30">
      <c r="A95" s="41"/>
      <c r="B95" s="3" t="s">
        <v>1404</v>
      </c>
      <c r="C95" s="9" t="s">
        <v>1807</v>
      </c>
      <c r="D95" s="5"/>
      <c r="E95" s="5" t="s">
        <v>1618</v>
      </c>
      <c r="F95" s="5"/>
      <c r="G95" s="4" t="s">
        <v>1622</v>
      </c>
      <c r="H95" s="4" t="s">
        <v>1623</v>
      </c>
      <c r="I95" s="5"/>
      <c r="J95" s="6" t="s">
        <v>1470</v>
      </c>
      <c r="K95" s="23" t="str">
        <f t="shared" si="4"/>
        <v>integer</v>
      </c>
      <c r="L95" s="23" t="str">
        <f t="shared" si="5"/>
        <v/>
      </c>
      <c r="M95" s="20"/>
      <c r="N95" s="20"/>
      <c r="O95" s="20"/>
      <c r="P95" s="20"/>
      <c r="Q95" s="20"/>
      <c r="R95" s="20"/>
      <c r="S95" s="2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</row>
    <row r="96" spans="1:30">
      <c r="A96" s="41"/>
      <c r="B96" s="3" t="s">
        <v>1404</v>
      </c>
      <c r="C96" s="9" t="s">
        <v>1808</v>
      </c>
      <c r="D96" s="5"/>
      <c r="E96" s="5" t="s">
        <v>1618</v>
      </c>
      <c r="F96" s="5"/>
      <c r="G96" s="4" t="s">
        <v>1625</v>
      </c>
      <c r="H96" s="4" t="s">
        <v>1626</v>
      </c>
      <c r="I96" s="5"/>
      <c r="J96" s="6" t="s">
        <v>1470</v>
      </c>
      <c r="K96" s="23" t="str">
        <f t="shared" si="4"/>
        <v>integer</v>
      </c>
      <c r="L96" s="23" t="str">
        <f t="shared" si="5"/>
        <v/>
      </c>
      <c r="M96" s="20"/>
      <c r="N96" s="20"/>
      <c r="O96" s="20"/>
      <c r="P96" s="20"/>
      <c r="Q96" s="20"/>
      <c r="R96" s="20"/>
      <c r="S96" s="2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</row>
    <row r="97" spans="1:30">
      <c r="A97" s="41"/>
      <c r="B97" s="3" t="s">
        <v>1404</v>
      </c>
      <c r="C97" s="9" t="s">
        <v>1809</v>
      </c>
      <c r="D97" s="5"/>
      <c r="E97" s="5" t="s">
        <v>1628</v>
      </c>
      <c r="F97" s="5"/>
      <c r="G97" s="4" t="s">
        <v>1629</v>
      </c>
      <c r="H97" s="4" t="s">
        <v>1630</v>
      </c>
      <c r="I97" s="5"/>
      <c r="J97" s="6" t="s">
        <v>1470</v>
      </c>
      <c r="K97" s="23" t="str">
        <f t="shared" si="4"/>
        <v>integer</v>
      </c>
      <c r="L97" s="23" t="str">
        <f t="shared" si="5"/>
        <v/>
      </c>
      <c r="M97" s="20"/>
      <c r="N97" s="20"/>
      <c r="O97" s="20"/>
      <c r="P97" s="20"/>
      <c r="Q97" s="20"/>
      <c r="R97" s="20"/>
      <c r="S97" s="2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</row>
    <row r="98" spans="1:30">
      <c r="A98" s="41"/>
      <c r="B98" s="3" t="s">
        <v>1404</v>
      </c>
      <c r="C98" s="9" t="s">
        <v>1810</v>
      </c>
      <c r="D98" s="5"/>
      <c r="E98" s="5" t="s">
        <v>1628</v>
      </c>
      <c r="F98" s="5"/>
      <c r="G98" s="4" t="s">
        <v>1632</v>
      </c>
      <c r="H98" s="4" t="s">
        <v>1633</v>
      </c>
      <c r="I98" s="5"/>
      <c r="J98" s="6" t="s">
        <v>1470</v>
      </c>
      <c r="K98" s="23" t="str">
        <f t="shared" si="4"/>
        <v>integer</v>
      </c>
      <c r="L98" s="23" t="str">
        <f t="shared" si="5"/>
        <v/>
      </c>
      <c r="M98" s="20"/>
      <c r="N98" s="20"/>
      <c r="O98" s="20"/>
      <c r="P98" s="20"/>
      <c r="Q98" s="20"/>
      <c r="R98" s="20"/>
      <c r="S98" s="2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</row>
    <row r="99" spans="1:30">
      <c r="A99" s="41"/>
      <c r="B99" s="3" t="s">
        <v>1404</v>
      </c>
      <c r="C99" s="9" t="s">
        <v>1811</v>
      </c>
      <c r="D99" s="5"/>
      <c r="E99" s="5" t="s">
        <v>1628</v>
      </c>
      <c r="F99" s="5"/>
      <c r="G99" s="4" t="s">
        <v>1635</v>
      </c>
      <c r="H99" s="4" t="s">
        <v>1636</v>
      </c>
      <c r="I99" s="5"/>
      <c r="J99" s="6" t="s">
        <v>1470</v>
      </c>
      <c r="K99" s="23" t="str">
        <f t="shared" si="4"/>
        <v>integer</v>
      </c>
      <c r="L99" s="23" t="str">
        <f t="shared" si="5"/>
        <v/>
      </c>
      <c r="M99" s="20"/>
      <c r="N99" s="20"/>
      <c r="O99" s="20"/>
      <c r="P99" s="20"/>
      <c r="Q99" s="20"/>
      <c r="R99" s="20"/>
      <c r="S99" s="2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</row>
    <row r="100" spans="1:30">
      <c r="A100" s="41"/>
      <c r="B100" s="3" t="s">
        <v>1404</v>
      </c>
      <c r="C100" s="9" t="s">
        <v>1812</v>
      </c>
      <c r="D100" s="5"/>
      <c r="E100" s="5" t="s">
        <v>1642</v>
      </c>
      <c r="F100" s="5" t="s">
        <v>1471</v>
      </c>
      <c r="G100" s="4" t="s">
        <v>1643</v>
      </c>
      <c r="H100" s="4" t="s">
        <v>1644</v>
      </c>
      <c r="I100" s="5"/>
      <c r="J100" s="6" t="s">
        <v>4</v>
      </c>
      <c r="K100" s="23" t="str">
        <f t="shared" si="4"/>
        <v>string</v>
      </c>
      <c r="L100" s="23" t="str">
        <f t="shared" si="5"/>
        <v/>
      </c>
      <c r="M100" s="20"/>
      <c r="N100" s="20"/>
      <c r="O100" s="20"/>
      <c r="P100" s="20"/>
      <c r="Q100" s="20"/>
      <c r="R100" s="20"/>
      <c r="S100" s="2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</row>
    <row r="101" spans="1:30">
      <c r="A101" s="41"/>
      <c r="B101" s="3" t="s">
        <v>1404</v>
      </c>
      <c r="C101" s="9" t="s">
        <v>1813</v>
      </c>
      <c r="D101" s="5"/>
      <c r="E101" s="5" t="s">
        <v>1646</v>
      </c>
      <c r="F101" s="5" t="s">
        <v>1471</v>
      </c>
      <c r="G101" s="4" t="s">
        <v>1814</v>
      </c>
      <c r="H101" s="4" t="s">
        <v>1815</v>
      </c>
      <c r="I101" s="5"/>
      <c r="J101" s="6" t="s">
        <v>4</v>
      </c>
      <c r="K101" s="23" t="str">
        <f t="shared" si="4"/>
        <v>string</v>
      </c>
      <c r="L101" s="23" t="str">
        <f t="shared" si="5"/>
        <v/>
      </c>
      <c r="M101" s="20"/>
      <c r="N101" s="20"/>
      <c r="O101" s="20"/>
      <c r="P101" s="20"/>
      <c r="Q101" s="20"/>
      <c r="R101" s="20"/>
      <c r="S101" s="2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</row>
    <row r="102" spans="1:30">
      <c r="A102" s="41"/>
      <c r="B102" s="3" t="s">
        <v>1404</v>
      </c>
      <c r="C102" s="9" t="s">
        <v>1816</v>
      </c>
      <c r="D102" s="5"/>
      <c r="E102" s="5" t="s">
        <v>1650</v>
      </c>
      <c r="F102" s="5" t="s">
        <v>1471</v>
      </c>
      <c r="G102" s="4" t="s">
        <v>1817</v>
      </c>
      <c r="H102" s="4" t="s">
        <v>1818</v>
      </c>
      <c r="I102" s="5"/>
      <c r="J102" s="6" t="s">
        <v>4</v>
      </c>
      <c r="K102" s="23" t="str">
        <f t="shared" si="4"/>
        <v>string</v>
      </c>
      <c r="L102" s="23" t="str">
        <f t="shared" si="5"/>
        <v/>
      </c>
      <c r="M102" s="20"/>
      <c r="N102" s="20"/>
      <c r="O102" s="20"/>
      <c r="P102" s="20"/>
      <c r="Q102" s="20"/>
      <c r="R102" s="20"/>
      <c r="S102" s="2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</row>
    <row r="103" spans="1:30">
      <c r="A103" s="41"/>
      <c r="B103" s="3" t="s">
        <v>1404</v>
      </c>
      <c r="C103" s="9" t="s">
        <v>1819</v>
      </c>
      <c r="D103" s="5"/>
      <c r="E103" s="5" t="s">
        <v>1654</v>
      </c>
      <c r="F103" s="5"/>
      <c r="G103" s="4" t="s">
        <v>1820</v>
      </c>
      <c r="H103" s="4" t="s">
        <v>1821</v>
      </c>
      <c r="I103" s="5"/>
      <c r="J103" s="6" t="s">
        <v>4</v>
      </c>
      <c r="K103" s="23" t="str">
        <f t="shared" si="4"/>
        <v>string</v>
      </c>
      <c r="L103" s="23" t="str">
        <f t="shared" si="5"/>
        <v/>
      </c>
      <c r="M103" s="20"/>
      <c r="N103" s="20"/>
      <c r="O103" s="20"/>
      <c r="P103" s="20"/>
      <c r="Q103" s="20"/>
      <c r="R103" s="20"/>
      <c r="S103" s="2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</row>
    <row r="104" spans="1:30">
      <c r="A104" s="41"/>
      <c r="B104" s="3" t="s">
        <v>1404</v>
      </c>
      <c r="C104" s="9" t="s">
        <v>1822</v>
      </c>
      <c r="D104" s="5"/>
      <c r="E104" s="5" t="s">
        <v>1823</v>
      </c>
      <c r="F104" s="5" t="s">
        <v>1471</v>
      </c>
      <c r="G104" s="4" t="s">
        <v>1824</v>
      </c>
      <c r="H104" s="4" t="s">
        <v>1825</v>
      </c>
      <c r="I104" s="5"/>
      <c r="J104" s="6" t="s">
        <v>4</v>
      </c>
      <c r="K104" s="23" t="str">
        <f t="shared" si="4"/>
        <v>string</v>
      </c>
      <c r="L104" s="23" t="str">
        <f t="shared" si="5"/>
        <v/>
      </c>
      <c r="M104" s="20"/>
      <c r="N104" s="20"/>
      <c r="O104" s="20"/>
      <c r="P104" s="20"/>
      <c r="Q104" s="20"/>
      <c r="R104" s="20"/>
      <c r="S104" s="2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</row>
    <row r="105" spans="1:30">
      <c r="A105" s="41"/>
      <c r="B105" s="3" t="s">
        <v>1404</v>
      </c>
      <c r="C105" s="9" t="s">
        <v>1826</v>
      </c>
      <c r="D105" s="5"/>
      <c r="E105" s="5" t="s">
        <v>1827</v>
      </c>
      <c r="F105" s="5" t="s">
        <v>1471</v>
      </c>
      <c r="G105" s="4" t="s">
        <v>1828</v>
      </c>
      <c r="H105" s="4" t="s">
        <v>1829</v>
      </c>
      <c r="I105" s="5"/>
      <c r="J105" s="6" t="s">
        <v>4</v>
      </c>
      <c r="K105" s="23" t="str">
        <f t="shared" si="4"/>
        <v>string</v>
      </c>
      <c r="L105" s="23" t="str">
        <f t="shared" si="5"/>
        <v/>
      </c>
      <c r="M105" s="20"/>
      <c r="N105" s="20"/>
      <c r="O105" s="20"/>
      <c r="P105" s="20"/>
      <c r="Q105" s="20"/>
      <c r="R105" s="20"/>
      <c r="S105" s="2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</row>
    <row r="106" spans="1:30">
      <c r="A106" s="41"/>
      <c r="B106" s="3" t="s">
        <v>1404</v>
      </c>
      <c r="C106" s="9" t="s">
        <v>1830</v>
      </c>
      <c r="D106" s="5"/>
      <c r="E106" s="5" t="s">
        <v>1658</v>
      </c>
      <c r="F106" s="5" t="s">
        <v>1471</v>
      </c>
      <c r="G106" s="4" t="s">
        <v>1659</v>
      </c>
      <c r="H106" s="4" t="s">
        <v>1660</v>
      </c>
      <c r="I106" s="5"/>
      <c r="J106" s="6" t="s">
        <v>4</v>
      </c>
      <c r="K106" s="23" t="str">
        <f t="shared" si="4"/>
        <v>string</v>
      </c>
      <c r="L106" s="23" t="str">
        <f t="shared" si="5"/>
        <v/>
      </c>
      <c r="M106" s="20" t="s">
        <v>1970</v>
      </c>
      <c r="N106" s="20"/>
      <c r="O106" s="20"/>
      <c r="P106" s="20"/>
      <c r="Q106" s="20"/>
      <c r="R106" s="20"/>
      <c r="S106" s="2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</row>
    <row r="107" spans="1:30">
      <c r="A107" s="41"/>
      <c r="B107" s="3" t="s">
        <v>1404</v>
      </c>
      <c r="C107" s="9" t="s">
        <v>1831</v>
      </c>
      <c r="D107" s="5"/>
      <c r="E107" s="5" t="s">
        <v>1662</v>
      </c>
      <c r="F107" s="5" t="s">
        <v>1471</v>
      </c>
      <c r="G107" s="4" t="s">
        <v>1663</v>
      </c>
      <c r="H107" s="4" t="s">
        <v>1664</v>
      </c>
      <c r="I107" s="5"/>
      <c r="J107" s="6" t="s">
        <v>4</v>
      </c>
      <c r="K107" s="23" t="str">
        <f t="shared" si="4"/>
        <v>string</v>
      </c>
      <c r="L107" s="23" t="str">
        <f t="shared" si="5"/>
        <v/>
      </c>
      <c r="M107" s="20" t="s">
        <v>1971</v>
      </c>
      <c r="N107" s="20"/>
      <c r="O107" s="20"/>
      <c r="P107" s="20"/>
      <c r="Q107" s="20"/>
      <c r="R107" s="20"/>
      <c r="S107" s="2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</row>
    <row r="108" spans="1:30">
      <c r="A108" s="41"/>
      <c r="B108" s="3" t="s">
        <v>1404</v>
      </c>
      <c r="C108" s="9" t="s">
        <v>1832</v>
      </c>
      <c r="D108" s="5"/>
      <c r="E108" s="5" t="s">
        <v>1666</v>
      </c>
      <c r="F108" s="5" t="s">
        <v>1471</v>
      </c>
      <c r="G108" s="4" t="s">
        <v>1472</v>
      </c>
      <c r="H108" s="4" t="s">
        <v>1473</v>
      </c>
      <c r="I108" s="5"/>
      <c r="J108" s="6" t="s">
        <v>4</v>
      </c>
      <c r="K108" s="23" t="str">
        <f t="shared" si="4"/>
        <v>string</v>
      </c>
      <c r="L108" s="23" t="str">
        <f t="shared" si="5"/>
        <v/>
      </c>
      <c r="M108" s="20" t="s">
        <v>1476</v>
      </c>
      <c r="N108" s="20"/>
      <c r="O108" s="20"/>
      <c r="P108" s="20"/>
      <c r="Q108" s="20"/>
      <c r="R108" s="20"/>
      <c r="S108" s="2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</row>
    <row r="109" spans="1:30">
      <c r="A109" s="41"/>
      <c r="B109" s="3" t="s">
        <v>1404</v>
      </c>
      <c r="C109" s="9" t="s">
        <v>1833</v>
      </c>
      <c r="D109" s="5"/>
      <c r="E109" s="5" t="s">
        <v>1668</v>
      </c>
      <c r="F109" s="5" t="s">
        <v>1471</v>
      </c>
      <c r="G109" s="4" t="s">
        <v>1474</v>
      </c>
      <c r="H109" s="4" t="s">
        <v>1475</v>
      </c>
      <c r="I109" s="5"/>
      <c r="J109" s="6" t="s">
        <v>4</v>
      </c>
      <c r="K109" s="23" t="str">
        <f t="shared" si="4"/>
        <v>string</v>
      </c>
      <c r="L109" s="23" t="str">
        <f t="shared" si="5"/>
        <v/>
      </c>
      <c r="M109" s="20" t="s">
        <v>1476</v>
      </c>
      <c r="N109" s="20"/>
      <c r="O109" s="20"/>
      <c r="P109" s="20"/>
      <c r="Q109" s="20"/>
      <c r="R109" s="20"/>
      <c r="S109" s="2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</row>
    <row r="110" spans="1:30">
      <c r="A110" s="41"/>
      <c r="B110" s="3" t="s">
        <v>1404</v>
      </c>
      <c r="C110" s="9" t="s">
        <v>1834</v>
      </c>
      <c r="D110" s="5"/>
      <c r="E110" s="5"/>
      <c r="F110" s="5"/>
      <c r="G110" s="4" t="s">
        <v>1670</v>
      </c>
      <c r="H110" s="4" t="s">
        <v>1671</v>
      </c>
      <c r="I110" s="5"/>
      <c r="J110" s="6" t="s">
        <v>4</v>
      </c>
      <c r="K110" s="23" t="str">
        <f t="shared" si="4"/>
        <v>string</v>
      </c>
      <c r="L110" s="23" t="str">
        <f t="shared" si="5"/>
        <v/>
      </c>
      <c r="M110" s="20" t="s">
        <v>1970</v>
      </c>
      <c r="N110" s="20"/>
      <c r="O110" s="20"/>
      <c r="P110" s="20"/>
      <c r="Q110" s="20"/>
      <c r="R110" s="20"/>
      <c r="S110" s="2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</row>
    <row r="111" spans="1:30">
      <c r="A111" s="41"/>
      <c r="B111" s="3" t="s">
        <v>1404</v>
      </c>
      <c r="C111" s="9" t="s">
        <v>1835</v>
      </c>
      <c r="D111" s="5"/>
      <c r="E111" s="5"/>
      <c r="F111" s="5"/>
      <c r="G111" s="4" t="s">
        <v>1673</v>
      </c>
      <c r="H111" s="4" t="s">
        <v>1674</v>
      </c>
      <c r="I111" s="5"/>
      <c r="J111" s="6" t="s">
        <v>4</v>
      </c>
      <c r="K111" s="23" t="str">
        <f t="shared" si="4"/>
        <v>string</v>
      </c>
      <c r="L111" s="23" t="str">
        <f t="shared" si="5"/>
        <v/>
      </c>
      <c r="M111" s="20" t="s">
        <v>1970</v>
      </c>
      <c r="N111" s="20"/>
      <c r="O111" s="20"/>
      <c r="P111" s="20"/>
      <c r="Q111" s="20"/>
      <c r="R111" s="20"/>
      <c r="S111" s="2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</row>
    <row r="112" spans="1:30">
      <c r="A112" s="41"/>
      <c r="B112" s="3" t="s">
        <v>1404</v>
      </c>
      <c r="C112" s="9" t="s">
        <v>1836</v>
      </c>
      <c r="D112" s="5"/>
      <c r="E112" s="5" t="s">
        <v>1676</v>
      </c>
      <c r="F112" s="5" t="s">
        <v>1471</v>
      </c>
      <c r="G112" s="4" t="s">
        <v>1837</v>
      </c>
      <c r="H112" s="4" t="s">
        <v>1838</v>
      </c>
      <c r="I112" s="5"/>
      <c r="J112" s="6" t="s">
        <v>4</v>
      </c>
      <c r="K112" s="23" t="str">
        <f t="shared" si="4"/>
        <v>string</v>
      </c>
      <c r="L112" s="23" t="str">
        <f t="shared" si="5"/>
        <v/>
      </c>
      <c r="M112" s="20" t="s">
        <v>1967</v>
      </c>
      <c r="N112" s="20"/>
      <c r="O112" s="20"/>
      <c r="P112" s="20"/>
      <c r="Q112" s="20"/>
      <c r="R112" s="20"/>
      <c r="S112" s="2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</row>
    <row r="113" spans="1:30">
      <c r="A113" s="41"/>
      <c r="B113" s="3" t="s">
        <v>1404</v>
      </c>
      <c r="C113" s="9" t="s">
        <v>1839</v>
      </c>
      <c r="D113" s="5"/>
      <c r="E113" s="5" t="s">
        <v>1680</v>
      </c>
      <c r="F113" s="5"/>
      <c r="G113" s="4" t="s">
        <v>1840</v>
      </c>
      <c r="H113" s="4" t="s">
        <v>1841</v>
      </c>
      <c r="I113" s="5"/>
      <c r="J113" s="6" t="s">
        <v>4</v>
      </c>
      <c r="K113" s="23" t="str">
        <f t="shared" si="4"/>
        <v>string</v>
      </c>
      <c r="L113" s="23" t="str">
        <f t="shared" si="5"/>
        <v/>
      </c>
      <c r="M113" s="20"/>
      <c r="N113" s="20"/>
      <c r="O113" s="20"/>
      <c r="P113" s="20"/>
      <c r="Q113" s="20"/>
      <c r="R113" s="20"/>
      <c r="S113" s="2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</row>
    <row r="114" spans="1:30">
      <c r="A114" s="41"/>
      <c r="B114" s="3" t="s">
        <v>1404</v>
      </c>
      <c r="C114" s="9" t="s">
        <v>1842</v>
      </c>
      <c r="D114" s="5"/>
      <c r="E114" s="5" t="s">
        <v>1684</v>
      </c>
      <c r="F114" s="5" t="s">
        <v>1471</v>
      </c>
      <c r="G114" s="4" t="s">
        <v>1843</v>
      </c>
      <c r="H114" s="4" t="s">
        <v>1844</v>
      </c>
      <c r="I114" s="5"/>
      <c r="J114" s="6" t="s">
        <v>4</v>
      </c>
      <c r="K114" s="23" t="str">
        <f t="shared" si="4"/>
        <v>string</v>
      </c>
      <c r="L114" s="23" t="str">
        <f t="shared" si="5"/>
        <v/>
      </c>
      <c r="M114" s="20"/>
      <c r="N114" s="20"/>
      <c r="O114" s="20"/>
      <c r="P114" s="20"/>
      <c r="Q114" s="20"/>
      <c r="R114" s="20"/>
      <c r="S114" s="2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</row>
    <row r="115" spans="1:30">
      <c r="A115" s="41"/>
      <c r="B115" s="3" t="s">
        <v>1404</v>
      </c>
      <c r="C115" s="9" t="s">
        <v>1845</v>
      </c>
      <c r="D115" s="5"/>
      <c r="E115" s="5" t="s">
        <v>1846</v>
      </c>
      <c r="F115" s="5" t="s">
        <v>1471</v>
      </c>
      <c r="G115" s="4" t="s">
        <v>1847</v>
      </c>
      <c r="H115" s="4" t="s">
        <v>1848</v>
      </c>
      <c r="I115" s="5"/>
      <c r="J115" s="6" t="s">
        <v>4</v>
      </c>
      <c r="K115" s="23" t="str">
        <f t="shared" si="4"/>
        <v>string</v>
      </c>
      <c r="L115" s="23" t="str">
        <f t="shared" si="5"/>
        <v/>
      </c>
      <c r="M115" s="20" t="s">
        <v>1972</v>
      </c>
      <c r="N115" s="20"/>
      <c r="O115" s="20"/>
      <c r="P115" s="20"/>
      <c r="Q115" s="20"/>
      <c r="R115" s="20"/>
      <c r="S115" s="2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</row>
    <row r="116" spans="1:30">
      <c r="A116" s="41"/>
      <c r="B116" s="3" t="s">
        <v>1404</v>
      </c>
      <c r="C116" s="9" t="s">
        <v>1849</v>
      </c>
      <c r="D116" s="5"/>
      <c r="E116" s="5" t="s">
        <v>1696</v>
      </c>
      <c r="F116" s="5"/>
      <c r="G116" s="4" t="s">
        <v>1697</v>
      </c>
      <c r="H116" s="4" t="s">
        <v>1698</v>
      </c>
      <c r="I116" s="5"/>
      <c r="J116" s="6" t="s">
        <v>4</v>
      </c>
      <c r="K116" s="23" t="str">
        <f t="shared" si="4"/>
        <v>string</v>
      </c>
      <c r="L116" s="23" t="str">
        <f t="shared" si="5"/>
        <v/>
      </c>
      <c r="M116" s="20"/>
      <c r="N116" s="20"/>
      <c r="O116" s="20"/>
      <c r="P116" s="20"/>
      <c r="Q116" s="20"/>
      <c r="R116" s="20"/>
      <c r="S116" s="2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</row>
    <row r="117" spans="1:30">
      <c r="A117" s="41"/>
      <c r="B117" s="3" t="s">
        <v>1404</v>
      </c>
      <c r="C117" s="9" t="s">
        <v>1850</v>
      </c>
      <c r="D117" s="5"/>
      <c r="E117" s="5" t="s">
        <v>1700</v>
      </c>
      <c r="F117" s="5"/>
      <c r="G117" s="4" t="s">
        <v>1701</v>
      </c>
      <c r="H117" s="4" t="s">
        <v>1702</v>
      </c>
      <c r="I117" s="5"/>
      <c r="J117" s="6" t="s">
        <v>4</v>
      </c>
      <c r="K117" s="23" t="str">
        <f t="shared" si="4"/>
        <v>string</v>
      </c>
      <c r="L117" s="23" t="str">
        <f t="shared" si="5"/>
        <v/>
      </c>
      <c r="M117" s="20"/>
      <c r="N117" s="20"/>
      <c r="O117" s="20"/>
      <c r="P117" s="20"/>
      <c r="Q117" s="20"/>
      <c r="R117" s="20"/>
      <c r="S117" s="2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</row>
    <row r="118" spans="1:30">
      <c r="A118" s="41"/>
      <c r="B118" s="3" t="s">
        <v>1404</v>
      </c>
      <c r="C118" s="9" t="s">
        <v>1851</v>
      </c>
      <c r="D118" s="5"/>
      <c r="E118" s="5" t="s">
        <v>1704</v>
      </c>
      <c r="F118" s="5" t="s">
        <v>1471</v>
      </c>
      <c r="G118" s="4" t="s">
        <v>1852</v>
      </c>
      <c r="H118" s="4" t="s">
        <v>1853</v>
      </c>
      <c r="I118" s="5"/>
      <c r="J118" s="6" t="s">
        <v>4</v>
      </c>
      <c r="K118" s="23" t="str">
        <f t="shared" si="4"/>
        <v>string</v>
      </c>
      <c r="L118" s="23" t="str">
        <f t="shared" si="5"/>
        <v/>
      </c>
      <c r="M118" s="20" t="s">
        <v>1969</v>
      </c>
      <c r="N118" s="20"/>
      <c r="O118" s="20"/>
      <c r="P118" s="20"/>
      <c r="Q118" s="20"/>
      <c r="R118" s="20"/>
      <c r="S118" s="2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</row>
    <row r="119" spans="1:30">
      <c r="A119" s="41"/>
      <c r="B119" s="3" t="s">
        <v>1404</v>
      </c>
      <c r="C119" s="9" t="s">
        <v>1854</v>
      </c>
      <c r="D119" s="5"/>
      <c r="E119" s="5" t="s">
        <v>1708</v>
      </c>
      <c r="F119" s="5" t="s">
        <v>1471</v>
      </c>
      <c r="G119" s="4" t="s">
        <v>1709</v>
      </c>
      <c r="H119" s="4" t="s">
        <v>1710</v>
      </c>
      <c r="I119" s="5"/>
      <c r="J119" s="6" t="s">
        <v>4</v>
      </c>
      <c r="K119" s="23" t="str">
        <f t="shared" si="4"/>
        <v>string</v>
      </c>
      <c r="L119" s="23" t="str">
        <f t="shared" si="5"/>
        <v/>
      </c>
      <c r="M119" s="20" t="s">
        <v>1968</v>
      </c>
      <c r="N119" s="20"/>
      <c r="O119" s="20"/>
      <c r="P119" s="20"/>
      <c r="Q119" s="20"/>
      <c r="R119" s="20"/>
      <c r="S119" s="2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</row>
    <row r="120" spans="1:30">
      <c r="A120" s="41"/>
      <c r="B120" s="3" t="s">
        <v>1404</v>
      </c>
      <c r="C120" s="9" t="s">
        <v>1855</v>
      </c>
      <c r="D120" s="5"/>
      <c r="E120" s="5" t="s">
        <v>1712</v>
      </c>
      <c r="F120" s="5"/>
      <c r="G120" s="4" t="s">
        <v>1713</v>
      </c>
      <c r="H120" s="4" t="s">
        <v>1714</v>
      </c>
      <c r="I120" s="5"/>
      <c r="J120" s="6" t="s">
        <v>4</v>
      </c>
      <c r="K120" s="23" t="str">
        <f t="shared" si="4"/>
        <v>string</v>
      </c>
      <c r="L120" s="23" t="str">
        <f t="shared" si="5"/>
        <v/>
      </c>
      <c r="M120" s="20"/>
      <c r="N120" s="20"/>
      <c r="O120" s="20"/>
      <c r="P120" s="20"/>
      <c r="Q120" s="20"/>
      <c r="R120" s="20"/>
      <c r="S120" s="2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</row>
    <row r="121" spans="1:30">
      <c r="A121" s="41"/>
      <c r="B121" s="3" t="s">
        <v>1404</v>
      </c>
      <c r="C121" s="9" t="s">
        <v>1856</v>
      </c>
      <c r="D121" s="5"/>
      <c r="E121" s="5" t="s">
        <v>1716</v>
      </c>
      <c r="F121" s="5"/>
      <c r="G121" s="4" t="s">
        <v>1717</v>
      </c>
      <c r="H121" s="4" t="s">
        <v>1718</v>
      </c>
      <c r="I121" s="5"/>
      <c r="J121" s="6" t="s">
        <v>4</v>
      </c>
      <c r="K121" s="23" t="str">
        <f t="shared" si="4"/>
        <v>string</v>
      </c>
      <c r="L121" s="23" t="str">
        <f t="shared" si="5"/>
        <v/>
      </c>
      <c r="M121" s="20"/>
      <c r="N121" s="20"/>
      <c r="O121" s="20"/>
      <c r="P121" s="20"/>
      <c r="Q121" s="20"/>
      <c r="R121" s="20"/>
      <c r="S121" s="2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</row>
    <row r="122" spans="1:30">
      <c r="A122" s="41"/>
      <c r="B122" s="3" t="s">
        <v>1404</v>
      </c>
      <c r="C122" s="9" t="s">
        <v>1857</v>
      </c>
      <c r="D122" s="5"/>
      <c r="E122" s="5" t="s">
        <v>1720</v>
      </c>
      <c r="F122" s="5"/>
      <c r="G122" s="4" t="s">
        <v>1721</v>
      </c>
      <c r="H122" s="4" t="s">
        <v>1722</v>
      </c>
      <c r="I122" s="5"/>
      <c r="J122" s="6" t="s">
        <v>4</v>
      </c>
      <c r="K122" s="23" t="str">
        <f t="shared" si="4"/>
        <v>string</v>
      </c>
      <c r="L122" s="23" t="str">
        <f t="shared" si="5"/>
        <v/>
      </c>
      <c r="M122" s="20"/>
      <c r="N122" s="20"/>
      <c r="O122" s="20"/>
      <c r="P122" s="20"/>
      <c r="Q122" s="20"/>
      <c r="R122" s="20"/>
      <c r="S122" s="2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</row>
    <row r="123" spans="1:30">
      <c r="A123" s="41"/>
      <c r="B123" s="3" t="s">
        <v>1404</v>
      </c>
      <c r="C123" s="9" t="s">
        <v>1858</v>
      </c>
      <c r="D123" s="5"/>
      <c r="E123" s="5" t="s">
        <v>1724</v>
      </c>
      <c r="F123" s="5"/>
      <c r="G123" s="4" t="s">
        <v>1725</v>
      </c>
      <c r="H123" s="4" t="s">
        <v>1726</v>
      </c>
      <c r="I123" s="5"/>
      <c r="J123" s="6" t="s">
        <v>4</v>
      </c>
      <c r="K123" s="23" t="str">
        <f t="shared" si="4"/>
        <v>string</v>
      </c>
      <c r="L123" s="23" t="str">
        <f t="shared" si="5"/>
        <v/>
      </c>
      <c r="M123" s="20"/>
      <c r="N123" s="20"/>
      <c r="O123" s="20"/>
      <c r="P123" s="20"/>
      <c r="Q123" s="20"/>
      <c r="R123" s="20"/>
      <c r="S123" s="2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</row>
    <row r="124" spans="1:30">
      <c r="A124" s="41"/>
      <c r="B124" s="3" t="s">
        <v>1404</v>
      </c>
      <c r="C124" s="9" t="s">
        <v>1859</v>
      </c>
      <c r="D124" s="5"/>
      <c r="E124" s="5" t="s">
        <v>1732</v>
      </c>
      <c r="F124" s="5"/>
      <c r="G124" s="4" t="s">
        <v>1733</v>
      </c>
      <c r="H124" s="4" t="s">
        <v>1734</v>
      </c>
      <c r="I124" s="5"/>
      <c r="J124" s="6" t="s">
        <v>4</v>
      </c>
      <c r="K124" s="23" t="str">
        <f t="shared" si="4"/>
        <v>string</v>
      </c>
      <c r="L124" s="23" t="str">
        <f t="shared" si="5"/>
        <v/>
      </c>
      <c r="M124" s="20"/>
      <c r="N124" s="20"/>
      <c r="O124" s="20"/>
      <c r="P124" s="20"/>
      <c r="Q124" s="20"/>
      <c r="R124" s="20"/>
      <c r="S124" s="2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</row>
    <row r="125" spans="1:30">
      <c r="A125" s="41"/>
      <c r="B125" s="3" t="s">
        <v>1404</v>
      </c>
      <c r="C125" s="9" t="s">
        <v>1860</v>
      </c>
      <c r="D125" s="5"/>
      <c r="E125" s="5" t="s">
        <v>1736</v>
      </c>
      <c r="F125" s="5"/>
      <c r="G125" s="4" t="s">
        <v>1737</v>
      </c>
      <c r="H125" s="4" t="s">
        <v>1738</v>
      </c>
      <c r="I125" s="5"/>
      <c r="J125" s="6" t="s">
        <v>4</v>
      </c>
      <c r="K125" s="23" t="str">
        <f t="shared" si="4"/>
        <v>string</v>
      </c>
      <c r="L125" s="23" t="str">
        <f t="shared" si="5"/>
        <v/>
      </c>
      <c r="M125" s="20"/>
      <c r="N125" s="20"/>
      <c r="O125" s="20"/>
      <c r="P125" s="20"/>
      <c r="Q125" s="20"/>
      <c r="R125" s="20"/>
      <c r="S125" s="2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</row>
    <row r="126" spans="1:30">
      <c r="A126" s="41"/>
      <c r="B126" s="3" t="s">
        <v>1404</v>
      </c>
      <c r="C126" s="9" t="s">
        <v>1861</v>
      </c>
      <c r="D126" s="5"/>
      <c r="E126" s="5" t="s">
        <v>1598</v>
      </c>
      <c r="F126" s="5"/>
      <c r="G126" s="4" t="s">
        <v>1740</v>
      </c>
      <c r="H126" s="4" t="s">
        <v>1741</v>
      </c>
      <c r="I126" s="5"/>
      <c r="J126" s="6" t="s">
        <v>4</v>
      </c>
      <c r="K126" s="23" t="str">
        <f t="shared" si="4"/>
        <v>string</v>
      </c>
      <c r="L126" s="23" t="str">
        <f t="shared" si="5"/>
        <v/>
      </c>
      <c r="M126" s="20"/>
      <c r="N126" s="20"/>
      <c r="O126" s="20"/>
      <c r="P126" s="20"/>
      <c r="Q126" s="20"/>
      <c r="R126" s="20"/>
      <c r="S126" s="2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</row>
    <row r="127" spans="1:30">
      <c r="A127" s="41"/>
      <c r="B127" s="3" t="s">
        <v>1404</v>
      </c>
      <c r="C127" s="9" t="s">
        <v>1862</v>
      </c>
      <c r="D127" s="5"/>
      <c r="E127" s="5" t="s">
        <v>1743</v>
      </c>
      <c r="F127" s="5"/>
      <c r="G127" s="4" t="s">
        <v>1863</v>
      </c>
      <c r="H127" s="4" t="s">
        <v>1864</v>
      </c>
      <c r="I127" s="5"/>
      <c r="J127" s="6" t="s">
        <v>4</v>
      </c>
      <c r="K127" s="23" t="str">
        <f t="shared" si="4"/>
        <v>string</v>
      </c>
      <c r="L127" s="23" t="str">
        <f t="shared" si="5"/>
        <v/>
      </c>
      <c r="M127" s="20"/>
      <c r="N127" s="20"/>
      <c r="O127" s="20"/>
      <c r="P127" s="20"/>
      <c r="Q127" s="20"/>
      <c r="R127" s="20"/>
      <c r="S127" s="2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</row>
    <row r="128" spans="1:30">
      <c r="A128" s="41"/>
      <c r="B128" s="3" t="s">
        <v>1404</v>
      </c>
      <c r="C128" s="9" t="s">
        <v>1865</v>
      </c>
      <c r="D128" s="5"/>
      <c r="E128" s="5"/>
      <c r="F128" s="5"/>
      <c r="G128" s="4" t="s">
        <v>1747</v>
      </c>
      <c r="H128" s="4" t="s">
        <v>1748</v>
      </c>
      <c r="I128" s="5"/>
      <c r="J128" s="6" t="s">
        <v>4</v>
      </c>
      <c r="K128" s="23" t="str">
        <f t="shared" si="4"/>
        <v>string</v>
      </c>
      <c r="L128" s="23" t="str">
        <f t="shared" si="5"/>
        <v/>
      </c>
      <c r="M128" s="20"/>
      <c r="N128" s="20"/>
      <c r="O128" s="20"/>
      <c r="P128" s="20"/>
      <c r="Q128" s="20"/>
      <c r="R128" s="20"/>
      <c r="S128" s="2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</row>
    <row r="129" spans="1:30">
      <c r="A129" s="41"/>
      <c r="B129" s="3" t="s">
        <v>1404</v>
      </c>
      <c r="C129" s="9" t="s">
        <v>1866</v>
      </c>
      <c r="D129" s="5"/>
      <c r="E129" s="5" t="s">
        <v>1598</v>
      </c>
      <c r="F129" s="5"/>
      <c r="G129" s="4" t="s">
        <v>1599</v>
      </c>
      <c r="H129" s="4" t="s">
        <v>1600</v>
      </c>
      <c r="I129" s="5"/>
      <c r="J129" s="6" t="s">
        <v>4</v>
      </c>
      <c r="K129" s="23" t="str">
        <f t="shared" si="4"/>
        <v>string</v>
      </c>
      <c r="L129" s="23" t="str">
        <f t="shared" si="5"/>
        <v/>
      </c>
      <c r="M129" s="20"/>
      <c r="N129" s="20"/>
      <c r="O129" s="20"/>
      <c r="P129" s="20"/>
      <c r="Q129" s="20"/>
      <c r="R129" s="20"/>
      <c r="S129" s="2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</row>
    <row r="130" spans="1:30">
      <c r="A130" s="41"/>
      <c r="B130" s="3" t="s">
        <v>1404</v>
      </c>
      <c r="C130" s="9" t="s">
        <v>1867</v>
      </c>
      <c r="D130" s="5"/>
      <c r="E130" s="5"/>
      <c r="F130" s="5"/>
      <c r="G130" s="4" t="s">
        <v>1602</v>
      </c>
      <c r="H130" s="4" t="s">
        <v>1603</v>
      </c>
      <c r="I130" s="5"/>
      <c r="J130" s="6" t="s">
        <v>4</v>
      </c>
      <c r="K130" s="23" t="str">
        <f t="shared" si="4"/>
        <v>string</v>
      </c>
      <c r="L130" s="23" t="str">
        <f t="shared" si="5"/>
        <v/>
      </c>
      <c r="M130" s="20"/>
      <c r="N130" s="20"/>
      <c r="O130" s="20"/>
      <c r="P130" s="20"/>
      <c r="Q130" s="20"/>
      <c r="R130" s="20"/>
      <c r="S130" s="2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</row>
    <row r="131" spans="1:30">
      <c r="A131" s="41"/>
      <c r="B131" s="3" t="s">
        <v>1404</v>
      </c>
      <c r="C131" s="9" t="s">
        <v>1868</v>
      </c>
      <c r="D131" s="5"/>
      <c r="E131" s="5"/>
      <c r="F131" s="5"/>
      <c r="G131" s="4" t="s">
        <v>1605</v>
      </c>
      <c r="H131" s="4" t="s">
        <v>1606</v>
      </c>
      <c r="I131" s="5"/>
      <c r="J131" s="6" t="s">
        <v>4</v>
      </c>
      <c r="K131" s="23" t="str">
        <f t="shared" si="4"/>
        <v>string</v>
      </c>
      <c r="L131" s="23" t="str">
        <f t="shared" si="5"/>
        <v/>
      </c>
      <c r="M131" s="20"/>
      <c r="N131" s="20"/>
      <c r="O131" s="20"/>
      <c r="P131" s="20"/>
      <c r="Q131" s="20"/>
      <c r="R131" s="20"/>
      <c r="S131" s="2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</row>
    <row r="132" spans="1:30">
      <c r="A132" s="41"/>
      <c r="B132" s="3" t="s">
        <v>1404</v>
      </c>
      <c r="C132" s="9" t="s">
        <v>1869</v>
      </c>
      <c r="D132" s="5"/>
      <c r="E132" s="5" t="s">
        <v>1608</v>
      </c>
      <c r="F132" s="5"/>
      <c r="G132" s="4" t="s">
        <v>1609</v>
      </c>
      <c r="H132" s="4" t="s">
        <v>1610</v>
      </c>
      <c r="I132" s="5"/>
      <c r="J132" s="6" t="s">
        <v>4</v>
      </c>
      <c r="K132" s="23" t="str">
        <f t="shared" si="4"/>
        <v>string</v>
      </c>
      <c r="L132" s="23" t="str">
        <f t="shared" si="5"/>
        <v/>
      </c>
      <c r="M132" s="20"/>
      <c r="N132" s="20"/>
      <c r="O132" s="20"/>
      <c r="P132" s="20"/>
      <c r="Q132" s="20"/>
      <c r="R132" s="20"/>
      <c r="S132" s="2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</row>
    <row r="133" spans="1:30">
      <c r="A133" s="41"/>
      <c r="B133" s="3" t="s">
        <v>1404</v>
      </c>
      <c r="C133" s="9" t="s">
        <v>1870</v>
      </c>
      <c r="D133" s="5"/>
      <c r="E133" s="5"/>
      <c r="F133" s="5"/>
      <c r="G133" s="4" t="s">
        <v>1612</v>
      </c>
      <c r="H133" s="4" t="s">
        <v>1613</v>
      </c>
      <c r="I133" s="5"/>
      <c r="J133" s="6" t="s">
        <v>4</v>
      </c>
      <c r="K133" s="23" t="str">
        <f t="shared" ref="K133:K173" si="6">_xlfn.IFS(J133="integer","integer",J133="number","number",J133="array","array",J133="boolean","boolean",TRUE,"string")</f>
        <v>string</v>
      </c>
      <c r="L133" s="23" t="str">
        <f t="shared" ref="L133:L173" si="7">_xlfn.IFS(J133="datetime","date-time",J133="duration","duration",TRUE,"")</f>
        <v/>
      </c>
      <c r="M133" s="20"/>
      <c r="N133" s="20"/>
      <c r="O133" s="20"/>
      <c r="P133" s="20"/>
      <c r="Q133" s="20"/>
      <c r="R133" s="20"/>
      <c r="S133" s="2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</row>
    <row r="134" spans="1:30">
      <c r="A134" s="41"/>
      <c r="B134" s="3" t="s">
        <v>1404</v>
      </c>
      <c r="C134" s="9" t="s">
        <v>1871</v>
      </c>
      <c r="D134" s="5"/>
      <c r="E134" s="5"/>
      <c r="F134" s="5"/>
      <c r="G134" s="4" t="s">
        <v>1615</v>
      </c>
      <c r="H134" s="4" t="s">
        <v>1616</v>
      </c>
      <c r="I134" s="5"/>
      <c r="J134" s="6" t="s">
        <v>4</v>
      </c>
      <c r="K134" s="23" t="str">
        <f t="shared" si="6"/>
        <v>string</v>
      </c>
      <c r="L134" s="23" t="str">
        <f t="shared" si="7"/>
        <v/>
      </c>
      <c r="M134" s="20"/>
      <c r="N134" s="20"/>
      <c r="O134" s="20"/>
      <c r="P134" s="20"/>
      <c r="Q134" s="20"/>
      <c r="R134" s="20"/>
      <c r="S134" s="2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</row>
    <row r="135" spans="1:30">
      <c r="A135" s="41"/>
      <c r="B135" s="3" t="s">
        <v>1404</v>
      </c>
      <c r="C135" s="9" t="s">
        <v>1872</v>
      </c>
      <c r="D135" s="5"/>
      <c r="E135" s="5" t="s">
        <v>1873</v>
      </c>
      <c r="F135" s="5"/>
      <c r="G135" s="4" t="s">
        <v>1619</v>
      </c>
      <c r="H135" s="4" t="s">
        <v>1620</v>
      </c>
      <c r="I135" s="5"/>
      <c r="J135" s="6" t="s">
        <v>1470</v>
      </c>
      <c r="K135" s="23" t="str">
        <f t="shared" si="6"/>
        <v>integer</v>
      </c>
      <c r="L135" s="23" t="str">
        <f t="shared" si="7"/>
        <v/>
      </c>
      <c r="M135" s="20"/>
      <c r="N135" s="20"/>
      <c r="O135" s="20"/>
      <c r="P135" s="20"/>
      <c r="Q135" s="20"/>
      <c r="R135" s="20"/>
      <c r="S135" s="2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</row>
    <row r="136" spans="1:30">
      <c r="A136" s="41"/>
      <c r="B136" s="3" t="s">
        <v>1404</v>
      </c>
      <c r="C136" s="9" t="s">
        <v>1874</v>
      </c>
      <c r="D136" s="5"/>
      <c r="E136" s="5" t="s">
        <v>1873</v>
      </c>
      <c r="F136" s="5"/>
      <c r="G136" s="4" t="s">
        <v>1622</v>
      </c>
      <c r="H136" s="4" t="s">
        <v>1623</v>
      </c>
      <c r="I136" s="5"/>
      <c r="J136" s="6" t="s">
        <v>1470</v>
      </c>
      <c r="K136" s="23" t="str">
        <f t="shared" si="6"/>
        <v>integer</v>
      </c>
      <c r="L136" s="23" t="str">
        <f t="shared" si="7"/>
        <v/>
      </c>
      <c r="M136" s="20"/>
      <c r="N136" s="20"/>
      <c r="O136" s="20"/>
      <c r="P136" s="20"/>
      <c r="Q136" s="20"/>
      <c r="R136" s="20"/>
      <c r="S136" s="2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</row>
    <row r="137" spans="1:30">
      <c r="A137" s="41"/>
      <c r="B137" s="3" t="s">
        <v>1404</v>
      </c>
      <c r="C137" s="9" t="s">
        <v>1875</v>
      </c>
      <c r="D137" s="5"/>
      <c r="E137" s="5" t="s">
        <v>1873</v>
      </c>
      <c r="F137" s="5"/>
      <c r="G137" s="4" t="s">
        <v>1625</v>
      </c>
      <c r="H137" s="4" t="s">
        <v>1626</v>
      </c>
      <c r="I137" s="5"/>
      <c r="J137" s="6" t="s">
        <v>1470</v>
      </c>
      <c r="K137" s="23" t="str">
        <f t="shared" si="6"/>
        <v>integer</v>
      </c>
      <c r="L137" s="23" t="str">
        <f t="shared" si="7"/>
        <v/>
      </c>
      <c r="M137" s="20"/>
      <c r="N137" s="20"/>
      <c r="O137" s="20"/>
      <c r="P137" s="20"/>
      <c r="Q137" s="20"/>
      <c r="R137" s="20"/>
      <c r="S137" s="2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</row>
    <row r="138" spans="1:30">
      <c r="A138" s="41"/>
      <c r="B138" s="3" t="s">
        <v>1404</v>
      </c>
      <c r="C138" s="9" t="s">
        <v>1876</v>
      </c>
      <c r="D138" s="5"/>
      <c r="E138" s="5" t="s">
        <v>1877</v>
      </c>
      <c r="F138" s="5"/>
      <c r="G138" s="4" t="s">
        <v>1629</v>
      </c>
      <c r="H138" s="4" t="s">
        <v>1630</v>
      </c>
      <c r="I138" s="5"/>
      <c r="J138" s="6" t="s">
        <v>1470</v>
      </c>
      <c r="K138" s="23" t="str">
        <f t="shared" si="6"/>
        <v>integer</v>
      </c>
      <c r="L138" s="23" t="str">
        <f t="shared" si="7"/>
        <v/>
      </c>
      <c r="M138" s="20"/>
      <c r="N138" s="20"/>
      <c r="O138" s="20"/>
      <c r="P138" s="20"/>
      <c r="Q138" s="20"/>
      <c r="R138" s="20"/>
      <c r="S138" s="2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</row>
    <row r="139" spans="1:30">
      <c r="A139" s="41"/>
      <c r="B139" s="3" t="s">
        <v>1404</v>
      </c>
      <c r="C139" s="9" t="s">
        <v>1878</v>
      </c>
      <c r="D139" s="5"/>
      <c r="E139" s="5" t="s">
        <v>1877</v>
      </c>
      <c r="F139" s="5"/>
      <c r="G139" s="4" t="s">
        <v>1632</v>
      </c>
      <c r="H139" s="4" t="s">
        <v>1633</v>
      </c>
      <c r="I139" s="5"/>
      <c r="J139" s="6" t="s">
        <v>1470</v>
      </c>
      <c r="K139" s="23" t="str">
        <f t="shared" si="6"/>
        <v>integer</v>
      </c>
      <c r="L139" s="23" t="str">
        <f t="shared" si="7"/>
        <v/>
      </c>
      <c r="M139" s="20"/>
      <c r="N139" s="20"/>
      <c r="O139" s="20"/>
      <c r="P139" s="20"/>
      <c r="Q139" s="20"/>
      <c r="R139" s="20"/>
      <c r="S139" s="2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</row>
    <row r="140" spans="1:30">
      <c r="A140" s="41"/>
      <c r="B140" s="3" t="s">
        <v>1404</v>
      </c>
      <c r="C140" s="9" t="s">
        <v>1879</v>
      </c>
      <c r="D140" s="5"/>
      <c r="E140" s="5" t="s">
        <v>1877</v>
      </c>
      <c r="F140" s="5"/>
      <c r="G140" s="4" t="s">
        <v>1635</v>
      </c>
      <c r="H140" s="4" t="s">
        <v>1636</v>
      </c>
      <c r="I140" s="5"/>
      <c r="J140" s="6" t="s">
        <v>1470</v>
      </c>
      <c r="K140" s="23" t="str">
        <f t="shared" si="6"/>
        <v>integer</v>
      </c>
      <c r="L140" s="23" t="str">
        <f t="shared" si="7"/>
        <v/>
      </c>
      <c r="M140" s="20"/>
      <c r="N140" s="20"/>
      <c r="O140" s="20"/>
      <c r="P140" s="20"/>
      <c r="Q140" s="20"/>
      <c r="R140" s="20"/>
      <c r="S140" s="2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</row>
    <row r="141" spans="1:30">
      <c r="A141" s="41"/>
      <c r="B141" s="3" t="s">
        <v>1404</v>
      </c>
      <c r="C141" s="9" t="s">
        <v>1880</v>
      </c>
      <c r="D141" s="5"/>
      <c r="E141" s="5" t="s">
        <v>1642</v>
      </c>
      <c r="F141" s="5" t="s">
        <v>1471</v>
      </c>
      <c r="G141" s="4" t="s">
        <v>1881</v>
      </c>
      <c r="H141" s="4" t="s">
        <v>1882</v>
      </c>
      <c r="I141" s="5"/>
      <c r="J141" s="6" t="s">
        <v>4</v>
      </c>
      <c r="K141" s="23" t="str">
        <f t="shared" si="6"/>
        <v>string</v>
      </c>
      <c r="L141" s="23" t="str">
        <f t="shared" si="7"/>
        <v/>
      </c>
      <c r="M141" s="20" t="s">
        <v>1967</v>
      </c>
      <c r="N141" s="20"/>
      <c r="O141" s="20"/>
      <c r="P141" s="20"/>
      <c r="Q141" s="20"/>
      <c r="R141" s="20"/>
      <c r="S141" s="2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</row>
    <row r="142" spans="1:30">
      <c r="A142" s="41"/>
      <c r="B142" s="3" t="s">
        <v>1404</v>
      </c>
      <c r="C142" s="9" t="s">
        <v>1883</v>
      </c>
      <c r="D142" s="5"/>
      <c r="E142" s="5" t="s">
        <v>1732</v>
      </c>
      <c r="F142" s="5"/>
      <c r="G142" s="4" t="s">
        <v>1733</v>
      </c>
      <c r="H142" s="4" t="s">
        <v>1734</v>
      </c>
      <c r="I142" s="5"/>
      <c r="J142" s="6" t="s">
        <v>4</v>
      </c>
      <c r="K142" s="23" t="str">
        <f t="shared" si="6"/>
        <v>string</v>
      </c>
      <c r="L142" s="23" t="str">
        <f t="shared" si="7"/>
        <v/>
      </c>
      <c r="M142" s="20"/>
      <c r="N142" s="20"/>
      <c r="O142" s="20"/>
      <c r="P142" s="20"/>
      <c r="Q142" s="20"/>
      <c r="R142" s="20"/>
      <c r="S142" s="2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</row>
    <row r="143" spans="1:30">
      <c r="A143" s="41"/>
      <c r="B143" s="3" t="s">
        <v>1404</v>
      </c>
      <c r="C143" s="9" t="s">
        <v>1884</v>
      </c>
      <c r="D143" s="5"/>
      <c r="E143" s="5" t="s">
        <v>1646</v>
      </c>
      <c r="F143" s="5" t="s">
        <v>1471</v>
      </c>
      <c r="G143" s="4" t="s">
        <v>1885</v>
      </c>
      <c r="H143" s="4" t="s">
        <v>1886</v>
      </c>
      <c r="I143" s="5"/>
      <c r="J143" s="6" t="s">
        <v>4</v>
      </c>
      <c r="K143" s="23" t="str">
        <f t="shared" si="6"/>
        <v>string</v>
      </c>
      <c r="L143" s="23" t="str">
        <f t="shared" si="7"/>
        <v/>
      </c>
      <c r="M143" s="20"/>
      <c r="N143" s="20"/>
      <c r="O143" s="20"/>
      <c r="P143" s="20"/>
      <c r="Q143" s="20"/>
      <c r="R143" s="20"/>
      <c r="S143" s="2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</row>
    <row r="144" spans="1:30">
      <c r="A144" s="41"/>
      <c r="B144" s="3" t="s">
        <v>1404</v>
      </c>
      <c r="C144" s="9" t="s">
        <v>1887</v>
      </c>
      <c r="D144" s="5"/>
      <c r="E144" s="5" t="s">
        <v>1650</v>
      </c>
      <c r="F144" s="5" t="s">
        <v>1471</v>
      </c>
      <c r="G144" s="4" t="s">
        <v>1888</v>
      </c>
      <c r="H144" s="4" t="s">
        <v>1889</v>
      </c>
      <c r="I144" s="5"/>
      <c r="J144" s="6" t="s">
        <v>4</v>
      </c>
      <c r="K144" s="23" t="str">
        <f t="shared" si="6"/>
        <v>string</v>
      </c>
      <c r="L144" s="23" t="str">
        <f t="shared" si="7"/>
        <v/>
      </c>
      <c r="M144" s="20"/>
      <c r="N144" s="20"/>
      <c r="O144" s="20"/>
      <c r="P144" s="20"/>
      <c r="Q144" s="20"/>
      <c r="R144" s="20"/>
      <c r="S144" s="2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</row>
    <row r="145" spans="1:30">
      <c r="A145" s="41"/>
      <c r="B145" s="3" t="s">
        <v>1404</v>
      </c>
      <c r="C145" s="9" t="s">
        <v>1890</v>
      </c>
      <c r="D145" s="5"/>
      <c r="E145" s="5" t="s">
        <v>1654</v>
      </c>
      <c r="F145" s="5"/>
      <c r="G145" s="4" t="s">
        <v>1891</v>
      </c>
      <c r="H145" s="4" t="s">
        <v>1892</v>
      </c>
      <c r="I145" s="5"/>
      <c r="J145" s="6" t="s">
        <v>4</v>
      </c>
      <c r="K145" s="23" t="str">
        <f t="shared" si="6"/>
        <v>string</v>
      </c>
      <c r="L145" s="23" t="str">
        <f t="shared" si="7"/>
        <v/>
      </c>
      <c r="M145" s="20"/>
      <c r="N145" s="20"/>
      <c r="O145" s="20"/>
      <c r="P145" s="20"/>
      <c r="Q145" s="20"/>
      <c r="R145" s="20"/>
      <c r="S145" s="2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</row>
    <row r="146" spans="1:30">
      <c r="A146" s="41"/>
      <c r="B146" s="3" t="s">
        <v>1404</v>
      </c>
      <c r="C146" s="9" t="s">
        <v>1893</v>
      </c>
      <c r="D146" s="5"/>
      <c r="E146" s="5" t="s">
        <v>1658</v>
      </c>
      <c r="F146" s="5" t="s">
        <v>1471</v>
      </c>
      <c r="G146" s="4" t="s">
        <v>1894</v>
      </c>
      <c r="H146" s="4" t="s">
        <v>1895</v>
      </c>
      <c r="I146" s="5"/>
      <c r="J146" s="6" t="s">
        <v>4</v>
      </c>
      <c r="K146" s="23" t="str">
        <f t="shared" si="6"/>
        <v>string</v>
      </c>
      <c r="L146" s="23" t="str">
        <f t="shared" si="7"/>
        <v/>
      </c>
      <c r="M146" s="20" t="s">
        <v>1535</v>
      </c>
      <c r="N146" s="20"/>
      <c r="O146" s="20"/>
      <c r="P146" s="20"/>
      <c r="Q146" s="20"/>
      <c r="R146" s="20"/>
      <c r="S146" s="2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</row>
    <row r="147" spans="1:30">
      <c r="A147" s="41"/>
      <c r="B147" s="3" t="s">
        <v>1404</v>
      </c>
      <c r="C147" s="9" t="s">
        <v>1896</v>
      </c>
      <c r="D147" s="5"/>
      <c r="E147" s="5" t="s">
        <v>1666</v>
      </c>
      <c r="F147" s="5" t="s">
        <v>1471</v>
      </c>
      <c r="G147" s="4" t="s">
        <v>1897</v>
      </c>
      <c r="H147" s="4" t="s">
        <v>1898</v>
      </c>
      <c r="I147" s="5"/>
      <c r="J147" s="6" t="s">
        <v>4</v>
      </c>
      <c r="K147" s="23" t="str">
        <f t="shared" si="6"/>
        <v>string</v>
      </c>
      <c r="L147" s="23" t="str">
        <f t="shared" si="7"/>
        <v/>
      </c>
      <c r="M147" s="20" t="s">
        <v>1476</v>
      </c>
      <c r="N147" s="20"/>
      <c r="O147" s="20"/>
      <c r="P147" s="20"/>
      <c r="Q147" s="20"/>
      <c r="R147" s="20"/>
      <c r="S147" s="2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</row>
    <row r="148" spans="1:30">
      <c r="A148" s="41"/>
      <c r="B148" s="3" t="s">
        <v>1404</v>
      </c>
      <c r="C148" s="9" t="s">
        <v>1899</v>
      </c>
      <c r="D148" s="5"/>
      <c r="E148" s="5" t="s">
        <v>1676</v>
      </c>
      <c r="F148" s="5" t="s">
        <v>1471</v>
      </c>
      <c r="G148" s="4" t="s">
        <v>1900</v>
      </c>
      <c r="H148" s="4" t="s">
        <v>1901</v>
      </c>
      <c r="I148" s="5"/>
      <c r="J148" s="6" t="s">
        <v>4</v>
      </c>
      <c r="K148" s="23" t="str">
        <f t="shared" si="6"/>
        <v>string</v>
      </c>
      <c r="L148" s="23" t="str">
        <f t="shared" si="7"/>
        <v/>
      </c>
      <c r="M148" s="20" t="s">
        <v>1967</v>
      </c>
      <c r="N148" s="20"/>
      <c r="O148" s="20"/>
      <c r="P148" s="20"/>
      <c r="Q148" s="20"/>
      <c r="R148" s="20"/>
      <c r="S148" s="2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</row>
    <row r="149" spans="1:30">
      <c r="A149" s="41"/>
      <c r="B149" s="3" t="s">
        <v>1404</v>
      </c>
      <c r="C149" s="9" t="s">
        <v>1902</v>
      </c>
      <c r="D149" s="5"/>
      <c r="E149" s="5" t="s">
        <v>1903</v>
      </c>
      <c r="F149" s="5"/>
      <c r="G149" s="4" t="s">
        <v>1840</v>
      </c>
      <c r="H149" s="4" t="s">
        <v>1841</v>
      </c>
      <c r="I149" s="5"/>
      <c r="J149" s="6" t="s">
        <v>4</v>
      </c>
      <c r="K149" s="23" t="str">
        <f t="shared" si="6"/>
        <v>string</v>
      </c>
      <c r="L149" s="23" t="str">
        <f t="shared" si="7"/>
        <v/>
      </c>
      <c r="M149" s="20"/>
      <c r="N149" s="20"/>
      <c r="O149" s="20"/>
      <c r="P149" s="20"/>
      <c r="Q149" s="20"/>
      <c r="R149" s="20"/>
      <c r="S149" s="2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</row>
    <row r="150" spans="1:30">
      <c r="A150" s="41"/>
      <c r="B150" s="3" t="s">
        <v>1404</v>
      </c>
      <c r="C150" s="9" t="s">
        <v>1904</v>
      </c>
      <c r="D150" s="5"/>
      <c r="E150" s="5" t="s">
        <v>1905</v>
      </c>
      <c r="F150" s="5"/>
      <c r="G150" s="4" t="s">
        <v>1906</v>
      </c>
      <c r="H150" s="4" t="s">
        <v>1907</v>
      </c>
      <c r="I150" s="5"/>
      <c r="J150" s="6" t="s">
        <v>4</v>
      </c>
      <c r="K150" s="23" t="str">
        <f t="shared" si="6"/>
        <v>string</v>
      </c>
      <c r="L150" s="23" t="str">
        <f t="shared" si="7"/>
        <v/>
      </c>
      <c r="M150" s="20"/>
      <c r="N150" s="20"/>
      <c r="O150" s="20"/>
      <c r="P150" s="20"/>
      <c r="Q150" s="20"/>
      <c r="R150" s="20"/>
      <c r="S150" s="2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</row>
    <row r="151" spans="1:30">
      <c r="A151" s="41"/>
      <c r="B151" s="3" t="s">
        <v>1404</v>
      </c>
      <c r="C151" s="9" t="s">
        <v>1908</v>
      </c>
      <c r="D151" s="5"/>
      <c r="E151" s="5" t="s">
        <v>1909</v>
      </c>
      <c r="F151" s="5" t="s">
        <v>1471</v>
      </c>
      <c r="G151" s="4" t="s">
        <v>1910</v>
      </c>
      <c r="H151" s="4" t="s">
        <v>1911</v>
      </c>
      <c r="I151" s="5"/>
      <c r="J151" s="6" t="s">
        <v>4</v>
      </c>
      <c r="K151" s="23" t="str">
        <f t="shared" si="6"/>
        <v>string</v>
      </c>
      <c r="L151" s="23" t="str">
        <f t="shared" si="7"/>
        <v/>
      </c>
      <c r="M151" s="20" t="s">
        <v>1972</v>
      </c>
      <c r="N151" s="20"/>
      <c r="O151" s="20"/>
      <c r="P151" s="20"/>
      <c r="Q151" s="20"/>
      <c r="R151" s="20"/>
      <c r="S151" s="2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</row>
    <row r="152" spans="1:30">
      <c r="A152" s="41"/>
      <c r="B152" s="3" t="s">
        <v>1404</v>
      </c>
      <c r="C152" s="9" t="s">
        <v>1912</v>
      </c>
      <c r="D152" s="5"/>
      <c r="E152" s="5" t="s">
        <v>1913</v>
      </c>
      <c r="F152" s="5" t="s">
        <v>1471</v>
      </c>
      <c r="G152" s="4" t="s">
        <v>1914</v>
      </c>
      <c r="H152" s="4" t="s">
        <v>1915</v>
      </c>
      <c r="I152" s="5"/>
      <c r="J152" s="6" t="s">
        <v>4</v>
      </c>
      <c r="K152" s="23" t="str">
        <f t="shared" si="6"/>
        <v>string</v>
      </c>
      <c r="L152" s="23" t="str">
        <f t="shared" si="7"/>
        <v/>
      </c>
      <c r="M152" s="20"/>
      <c r="N152" s="20"/>
      <c r="O152" s="20"/>
      <c r="P152" s="20"/>
      <c r="Q152" s="20"/>
      <c r="R152" s="20"/>
      <c r="S152" s="2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</row>
    <row r="153" spans="1:30">
      <c r="A153" s="41"/>
      <c r="B153" s="3" t="s">
        <v>1404</v>
      </c>
      <c r="C153" s="9" t="s">
        <v>1916</v>
      </c>
      <c r="D153" s="5"/>
      <c r="E153" s="5" t="s">
        <v>1917</v>
      </c>
      <c r="F153" s="5"/>
      <c r="G153" s="4" t="s">
        <v>1918</v>
      </c>
      <c r="H153" s="4" t="s">
        <v>1919</v>
      </c>
      <c r="I153" s="5"/>
      <c r="J153" s="6" t="s">
        <v>4</v>
      </c>
      <c r="K153" s="23" t="str">
        <f t="shared" si="6"/>
        <v>string</v>
      </c>
      <c r="L153" s="23" t="str">
        <f t="shared" si="7"/>
        <v/>
      </c>
      <c r="M153" s="20"/>
      <c r="N153" s="20"/>
      <c r="O153" s="20"/>
      <c r="P153" s="20"/>
      <c r="Q153" s="20"/>
      <c r="R153" s="20"/>
      <c r="S153" s="2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</row>
    <row r="154" spans="1:30">
      <c r="A154" s="41"/>
      <c r="B154" s="3" t="s">
        <v>1404</v>
      </c>
      <c r="C154" s="9" t="s">
        <v>1920</v>
      </c>
      <c r="D154" s="5"/>
      <c r="E154" s="5" t="s">
        <v>1921</v>
      </c>
      <c r="F154" s="5" t="s">
        <v>1471</v>
      </c>
      <c r="G154" s="4" t="s">
        <v>1922</v>
      </c>
      <c r="H154" s="4" t="s">
        <v>1923</v>
      </c>
      <c r="I154" s="5"/>
      <c r="J154" s="6" t="s">
        <v>4</v>
      </c>
      <c r="K154" s="23" t="str">
        <f t="shared" si="6"/>
        <v>string</v>
      </c>
      <c r="L154" s="23" t="str">
        <f t="shared" si="7"/>
        <v/>
      </c>
      <c r="M154" s="20" t="s">
        <v>1969</v>
      </c>
      <c r="N154" s="20"/>
      <c r="O154" s="20"/>
      <c r="P154" s="20"/>
      <c r="Q154" s="20"/>
      <c r="R154" s="20"/>
      <c r="S154" s="2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</row>
    <row r="155" spans="1:30">
      <c r="A155" s="41"/>
      <c r="B155" s="3" t="s">
        <v>1404</v>
      </c>
      <c r="C155" s="9" t="s">
        <v>1924</v>
      </c>
      <c r="D155" s="5"/>
      <c r="E155" s="5" t="s">
        <v>1925</v>
      </c>
      <c r="F155" s="5"/>
      <c r="G155" s="4" t="s">
        <v>1926</v>
      </c>
      <c r="H155" s="4" t="s">
        <v>1927</v>
      </c>
      <c r="I155" s="5"/>
      <c r="J155" s="6" t="s">
        <v>4</v>
      </c>
      <c r="K155" s="23" t="str">
        <f t="shared" si="6"/>
        <v>string</v>
      </c>
      <c r="L155" s="23" t="str">
        <f t="shared" si="7"/>
        <v/>
      </c>
      <c r="M155" s="20"/>
      <c r="N155" s="20"/>
      <c r="O155" s="20"/>
      <c r="P155" s="20"/>
      <c r="Q155" s="20"/>
      <c r="R155" s="20"/>
      <c r="S155" s="2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</row>
    <row r="156" spans="1:30">
      <c r="A156" s="41"/>
      <c r="B156" s="3" t="s">
        <v>1404</v>
      </c>
      <c r="C156" s="9" t="s">
        <v>1928</v>
      </c>
      <c r="D156" s="5"/>
      <c r="E156" s="5" t="s">
        <v>1929</v>
      </c>
      <c r="F156" s="5" t="s">
        <v>1471</v>
      </c>
      <c r="G156" s="4" t="s">
        <v>1930</v>
      </c>
      <c r="H156" s="4" t="s">
        <v>1931</v>
      </c>
      <c r="I156" s="5"/>
      <c r="J156" s="6" t="s">
        <v>4</v>
      </c>
      <c r="K156" s="23" t="str">
        <f t="shared" si="6"/>
        <v>string</v>
      </c>
      <c r="L156" s="23" t="str">
        <f t="shared" si="7"/>
        <v/>
      </c>
      <c r="M156" s="20" t="s">
        <v>1968</v>
      </c>
      <c r="N156" s="20"/>
      <c r="O156" s="20"/>
      <c r="P156" s="20"/>
      <c r="Q156" s="20"/>
      <c r="R156" s="20"/>
      <c r="S156" s="2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</row>
    <row r="157" spans="1:30">
      <c r="A157" s="41"/>
      <c r="B157" s="3" t="s">
        <v>1404</v>
      </c>
      <c r="C157" s="9" t="s">
        <v>1932</v>
      </c>
      <c r="D157" s="5"/>
      <c r="E157" s="5" t="s">
        <v>1933</v>
      </c>
      <c r="F157" s="5" t="s">
        <v>1471</v>
      </c>
      <c r="G157" s="4" t="s">
        <v>1934</v>
      </c>
      <c r="H157" s="4" t="s">
        <v>1935</v>
      </c>
      <c r="I157" s="5"/>
      <c r="J157" s="6" t="s">
        <v>4</v>
      </c>
      <c r="K157" s="23" t="str">
        <f t="shared" si="6"/>
        <v>string</v>
      </c>
      <c r="L157" s="23" t="str">
        <f t="shared" si="7"/>
        <v/>
      </c>
      <c r="M157" s="20" t="s">
        <v>1535</v>
      </c>
      <c r="N157" s="20"/>
      <c r="O157" s="20"/>
      <c r="P157" s="20"/>
      <c r="Q157" s="20"/>
      <c r="R157" s="20"/>
      <c r="S157" s="2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</row>
    <row r="158" spans="1:30">
      <c r="A158" s="41"/>
      <c r="B158" s="3" t="s">
        <v>1404</v>
      </c>
      <c r="C158" s="9" t="s">
        <v>1936</v>
      </c>
      <c r="D158" s="5"/>
      <c r="E158" s="5" t="s">
        <v>1937</v>
      </c>
      <c r="F158" s="5" t="s">
        <v>1471</v>
      </c>
      <c r="G158" s="4" t="s">
        <v>1938</v>
      </c>
      <c r="H158" s="4" t="s">
        <v>1939</v>
      </c>
      <c r="I158" s="5"/>
      <c r="J158" s="6" t="s">
        <v>4</v>
      </c>
      <c r="K158" s="23" t="str">
        <f t="shared" si="6"/>
        <v>string</v>
      </c>
      <c r="L158" s="23" t="str">
        <f t="shared" si="7"/>
        <v/>
      </c>
      <c r="M158" s="20" t="s">
        <v>1968</v>
      </c>
      <c r="N158" s="20"/>
      <c r="O158" s="20"/>
      <c r="P158" s="20"/>
      <c r="Q158" s="20"/>
      <c r="R158" s="20"/>
      <c r="S158" s="2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</row>
    <row r="159" spans="1:30">
      <c r="A159" s="41"/>
      <c r="B159" s="3" t="s">
        <v>1404</v>
      </c>
      <c r="C159" s="9" t="s">
        <v>1940</v>
      </c>
      <c r="D159" s="5"/>
      <c r="E159" s="5" t="s">
        <v>1941</v>
      </c>
      <c r="F159" s="5"/>
      <c r="G159" s="4" t="s">
        <v>1942</v>
      </c>
      <c r="H159" s="4" t="s">
        <v>1943</v>
      </c>
      <c r="I159" s="5"/>
      <c r="J159" s="6" t="s">
        <v>4</v>
      </c>
      <c r="K159" s="23" t="str">
        <f t="shared" si="6"/>
        <v>string</v>
      </c>
      <c r="L159" s="23" t="str">
        <f t="shared" si="7"/>
        <v/>
      </c>
      <c r="M159" s="20"/>
      <c r="N159" s="20"/>
      <c r="O159" s="20"/>
      <c r="P159" s="20"/>
      <c r="Q159" s="20"/>
      <c r="R159" s="20"/>
      <c r="S159" s="2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</row>
    <row r="160" spans="1:30">
      <c r="A160" s="41"/>
      <c r="B160" s="3" t="s">
        <v>1404</v>
      </c>
      <c r="C160" s="9" t="s">
        <v>1944</v>
      </c>
      <c r="D160" s="5"/>
      <c r="E160" s="5" t="s">
        <v>1945</v>
      </c>
      <c r="F160" s="5"/>
      <c r="G160" s="4" t="s">
        <v>1946</v>
      </c>
      <c r="H160" s="4" t="s">
        <v>1947</v>
      </c>
      <c r="I160" s="5"/>
      <c r="J160" s="6" t="s">
        <v>4</v>
      </c>
      <c r="K160" s="23" t="str">
        <f t="shared" si="6"/>
        <v>string</v>
      </c>
      <c r="L160" s="23" t="str">
        <f t="shared" si="7"/>
        <v/>
      </c>
      <c r="M160" s="20"/>
      <c r="N160" s="20"/>
      <c r="O160" s="20"/>
      <c r="P160" s="20"/>
      <c r="Q160" s="20"/>
      <c r="R160" s="20"/>
      <c r="S160" s="2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</row>
    <row r="161" spans="1:30">
      <c r="A161" s="41"/>
      <c r="B161" s="3" t="s">
        <v>1404</v>
      </c>
      <c r="C161" s="9" t="s">
        <v>1948</v>
      </c>
      <c r="D161" s="5"/>
      <c r="E161" s="5" t="s">
        <v>1696</v>
      </c>
      <c r="F161" s="5"/>
      <c r="G161" s="4" t="s">
        <v>1697</v>
      </c>
      <c r="H161" s="4" t="s">
        <v>1698</v>
      </c>
      <c r="I161" s="5"/>
      <c r="J161" s="6" t="s">
        <v>4</v>
      </c>
      <c r="K161" s="23" t="str">
        <f t="shared" si="6"/>
        <v>string</v>
      </c>
      <c r="L161" s="23" t="str">
        <f t="shared" si="7"/>
        <v/>
      </c>
      <c r="M161" s="20"/>
      <c r="N161" s="20"/>
      <c r="O161" s="20"/>
      <c r="P161" s="20"/>
      <c r="Q161" s="20"/>
      <c r="R161" s="20"/>
      <c r="S161" s="2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</row>
    <row r="162" spans="1:30">
      <c r="A162" s="41"/>
      <c r="B162" s="3" t="s">
        <v>1404</v>
      </c>
      <c r="C162" s="9" t="s">
        <v>1949</v>
      </c>
      <c r="D162" s="5"/>
      <c r="E162" s="5" t="s">
        <v>1700</v>
      </c>
      <c r="F162" s="5"/>
      <c r="G162" s="4" t="s">
        <v>1701</v>
      </c>
      <c r="H162" s="4" t="s">
        <v>1702</v>
      </c>
      <c r="I162" s="5"/>
      <c r="J162" s="6" t="s">
        <v>4</v>
      </c>
      <c r="K162" s="23" t="str">
        <f t="shared" si="6"/>
        <v>string</v>
      </c>
      <c r="L162" s="23" t="str">
        <f t="shared" si="7"/>
        <v/>
      </c>
      <c r="M162" s="20"/>
      <c r="N162" s="20"/>
      <c r="O162" s="20"/>
      <c r="P162" s="20"/>
      <c r="Q162" s="20"/>
      <c r="R162" s="20"/>
      <c r="S162" s="2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</row>
    <row r="163" spans="1:30">
      <c r="A163" s="41"/>
      <c r="B163" s="3" t="s">
        <v>1404</v>
      </c>
      <c r="C163" s="9" t="s">
        <v>1950</v>
      </c>
      <c r="D163" s="5"/>
      <c r="E163" s="5" t="s">
        <v>1704</v>
      </c>
      <c r="F163" s="5" t="s">
        <v>1471</v>
      </c>
      <c r="G163" s="4" t="s">
        <v>1705</v>
      </c>
      <c r="H163" s="4" t="s">
        <v>1706</v>
      </c>
      <c r="I163" s="5"/>
      <c r="J163" s="6" t="s">
        <v>4</v>
      </c>
      <c r="K163" s="23" t="str">
        <f t="shared" si="6"/>
        <v>string</v>
      </c>
      <c r="L163" s="23" t="str">
        <f t="shared" si="7"/>
        <v/>
      </c>
      <c r="M163" s="20"/>
      <c r="N163" s="20"/>
      <c r="O163" s="20"/>
      <c r="P163" s="20"/>
      <c r="Q163" s="20"/>
      <c r="R163" s="20"/>
      <c r="S163" s="2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</row>
    <row r="164" spans="1:30">
      <c r="A164" s="41"/>
      <c r="B164" s="3" t="s">
        <v>1404</v>
      </c>
      <c r="C164" s="9" t="s">
        <v>1951</v>
      </c>
      <c r="D164" s="5"/>
      <c r="E164" s="5" t="s">
        <v>1708</v>
      </c>
      <c r="F164" s="5" t="s">
        <v>1471</v>
      </c>
      <c r="G164" s="4" t="s">
        <v>1709</v>
      </c>
      <c r="H164" s="4" t="s">
        <v>1710</v>
      </c>
      <c r="I164" s="5"/>
      <c r="J164" s="6" t="s">
        <v>4</v>
      </c>
      <c r="K164" s="23" t="str">
        <f t="shared" si="6"/>
        <v>string</v>
      </c>
      <c r="L164" s="23" t="str">
        <f t="shared" si="7"/>
        <v/>
      </c>
      <c r="M164" s="20" t="s">
        <v>1968</v>
      </c>
      <c r="N164" s="20"/>
      <c r="O164" s="20"/>
      <c r="P164" s="20"/>
      <c r="Q164" s="20"/>
      <c r="R164" s="20"/>
      <c r="S164" s="2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</row>
    <row r="165" spans="1:30">
      <c r="A165" s="41"/>
      <c r="B165" s="3" t="s">
        <v>1404</v>
      </c>
      <c r="C165" s="9" t="s">
        <v>1952</v>
      </c>
      <c r="D165" s="5"/>
      <c r="E165" s="5" t="s">
        <v>1712</v>
      </c>
      <c r="F165" s="5"/>
      <c r="G165" s="4" t="s">
        <v>1713</v>
      </c>
      <c r="H165" s="4" t="s">
        <v>1714</v>
      </c>
      <c r="I165" s="5"/>
      <c r="J165" s="6" t="s">
        <v>4</v>
      </c>
      <c r="K165" s="23" t="str">
        <f t="shared" si="6"/>
        <v>string</v>
      </c>
      <c r="L165" s="23" t="str">
        <f t="shared" si="7"/>
        <v/>
      </c>
      <c r="M165" s="20"/>
      <c r="N165" s="20"/>
      <c r="O165" s="20"/>
      <c r="P165" s="20"/>
      <c r="Q165" s="20"/>
      <c r="R165" s="20"/>
      <c r="S165" s="2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</row>
    <row r="166" spans="1:30">
      <c r="A166" s="41"/>
      <c r="B166" s="3" t="s">
        <v>1404</v>
      </c>
      <c r="C166" s="9" t="s">
        <v>1953</v>
      </c>
      <c r="D166" s="5"/>
      <c r="E166" s="5" t="s">
        <v>1716</v>
      </c>
      <c r="F166" s="5"/>
      <c r="G166" s="4" t="s">
        <v>1717</v>
      </c>
      <c r="H166" s="4" t="s">
        <v>1718</v>
      </c>
      <c r="I166" s="5"/>
      <c r="J166" s="6" t="s">
        <v>4</v>
      </c>
      <c r="K166" s="23" t="str">
        <f t="shared" si="6"/>
        <v>string</v>
      </c>
      <c r="L166" s="23" t="str">
        <f t="shared" si="7"/>
        <v/>
      </c>
      <c r="M166" s="20"/>
      <c r="N166" s="20"/>
      <c r="O166" s="20"/>
      <c r="P166" s="20"/>
      <c r="Q166" s="20"/>
      <c r="R166" s="20"/>
      <c r="S166" s="2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</row>
    <row r="167" spans="1:30">
      <c r="A167" s="41"/>
      <c r="B167" s="3" t="s">
        <v>1404</v>
      </c>
      <c r="C167" s="9" t="s">
        <v>1954</v>
      </c>
      <c r="D167" s="5"/>
      <c r="E167" s="5" t="s">
        <v>1720</v>
      </c>
      <c r="F167" s="5"/>
      <c r="G167" s="4" t="s">
        <v>1721</v>
      </c>
      <c r="H167" s="4" t="s">
        <v>1722</v>
      </c>
      <c r="I167" s="5"/>
      <c r="J167" s="6" t="s">
        <v>4</v>
      </c>
      <c r="K167" s="23" t="str">
        <f t="shared" si="6"/>
        <v>string</v>
      </c>
      <c r="L167" s="23" t="str">
        <f t="shared" si="7"/>
        <v/>
      </c>
      <c r="M167" s="20"/>
      <c r="N167" s="20"/>
      <c r="O167" s="20"/>
      <c r="P167" s="20"/>
      <c r="Q167" s="20"/>
      <c r="R167" s="20"/>
      <c r="S167" s="2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</row>
    <row r="168" spans="1:30">
      <c r="A168" s="41"/>
      <c r="B168" s="3" t="s">
        <v>1404</v>
      </c>
      <c r="C168" s="9" t="s">
        <v>1955</v>
      </c>
      <c r="D168" s="5"/>
      <c r="E168" s="5" t="s">
        <v>1724</v>
      </c>
      <c r="F168" s="5"/>
      <c r="G168" s="4" t="s">
        <v>1725</v>
      </c>
      <c r="H168" s="4" t="s">
        <v>1726</v>
      </c>
      <c r="I168" s="5"/>
      <c r="J168" s="6" t="s">
        <v>4</v>
      </c>
      <c r="K168" s="23" t="str">
        <f t="shared" si="6"/>
        <v>string</v>
      </c>
      <c r="L168" s="23" t="str">
        <f t="shared" si="7"/>
        <v/>
      </c>
      <c r="M168" s="20"/>
      <c r="N168" s="20"/>
      <c r="O168" s="20"/>
      <c r="P168" s="20"/>
      <c r="Q168" s="20"/>
      <c r="R168" s="20"/>
      <c r="S168" s="2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</row>
    <row r="169" spans="1:30">
      <c r="A169" s="41"/>
      <c r="B169" s="3" t="s">
        <v>1404</v>
      </c>
      <c r="C169" s="9" t="s">
        <v>1956</v>
      </c>
      <c r="D169" s="5"/>
      <c r="E169" s="5" t="s">
        <v>1728</v>
      </c>
      <c r="F169" s="5" t="s">
        <v>1471</v>
      </c>
      <c r="G169" s="4" t="s">
        <v>1729</v>
      </c>
      <c r="H169" s="4" t="s">
        <v>1730</v>
      </c>
      <c r="I169" s="5"/>
      <c r="J169" s="6" t="s">
        <v>4</v>
      </c>
      <c r="K169" s="23" t="str">
        <f t="shared" si="6"/>
        <v>string</v>
      </c>
      <c r="L169" s="23" t="str">
        <f t="shared" si="7"/>
        <v/>
      </c>
      <c r="M169" s="20" t="s">
        <v>1969</v>
      </c>
      <c r="N169" s="20"/>
      <c r="O169" s="20"/>
      <c r="P169" s="20"/>
      <c r="Q169" s="20"/>
      <c r="R169" s="20"/>
      <c r="S169" s="2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</row>
    <row r="170" spans="1:30">
      <c r="A170" s="41"/>
      <c r="B170" s="3" t="s">
        <v>1404</v>
      </c>
      <c r="C170" s="9" t="s">
        <v>1957</v>
      </c>
      <c r="D170" s="5"/>
      <c r="E170" s="5" t="s">
        <v>1732</v>
      </c>
      <c r="F170" s="5"/>
      <c r="G170" s="4" t="s">
        <v>1958</v>
      </c>
      <c r="H170" s="4" t="s">
        <v>1959</v>
      </c>
      <c r="I170" s="5"/>
      <c r="J170" s="6" t="s">
        <v>4</v>
      </c>
      <c r="K170" s="23" t="str">
        <f t="shared" si="6"/>
        <v>string</v>
      </c>
      <c r="L170" s="23" t="str">
        <f t="shared" si="7"/>
        <v/>
      </c>
      <c r="M170" s="20"/>
      <c r="N170" s="20"/>
      <c r="O170" s="20"/>
      <c r="P170" s="20"/>
      <c r="Q170" s="20"/>
      <c r="R170" s="20"/>
      <c r="S170" s="2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</row>
    <row r="171" spans="1:30">
      <c r="A171" s="41"/>
      <c r="B171" s="3" t="s">
        <v>1404</v>
      </c>
      <c r="C171" s="9" t="s">
        <v>1960</v>
      </c>
      <c r="D171" s="5"/>
      <c r="E171" s="5" t="s">
        <v>1743</v>
      </c>
      <c r="F171" s="5"/>
      <c r="G171" s="4" t="s">
        <v>1961</v>
      </c>
      <c r="H171" s="4" t="s">
        <v>1962</v>
      </c>
      <c r="I171" s="5"/>
      <c r="J171" s="6" t="s">
        <v>4</v>
      </c>
      <c r="K171" s="23" t="str">
        <f t="shared" si="6"/>
        <v>string</v>
      </c>
      <c r="L171" s="23" t="str">
        <f t="shared" si="7"/>
        <v/>
      </c>
      <c r="M171" s="20"/>
      <c r="N171" s="20"/>
      <c r="O171" s="20"/>
      <c r="P171" s="20"/>
      <c r="Q171" s="20"/>
      <c r="R171" s="20"/>
      <c r="S171" s="2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</row>
    <row r="172" spans="1:30">
      <c r="A172" s="41"/>
      <c r="B172" s="3" t="s">
        <v>1404</v>
      </c>
      <c r="C172" s="9" t="s">
        <v>1963</v>
      </c>
      <c r="D172" s="5"/>
      <c r="E172" s="5"/>
      <c r="F172" s="5"/>
      <c r="G172" s="4" t="s">
        <v>1747</v>
      </c>
      <c r="H172" s="4" t="s">
        <v>1748</v>
      </c>
      <c r="I172" s="5"/>
      <c r="J172" s="6" t="s">
        <v>4</v>
      </c>
      <c r="K172" s="23" t="str">
        <f t="shared" si="6"/>
        <v>string</v>
      </c>
      <c r="L172" s="23" t="str">
        <f t="shared" si="7"/>
        <v/>
      </c>
      <c r="M172" s="20"/>
      <c r="N172" s="20"/>
      <c r="O172" s="20"/>
      <c r="P172" s="20"/>
      <c r="Q172" s="20"/>
      <c r="R172" s="20"/>
      <c r="S172" s="2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</row>
    <row r="173" spans="1:30">
      <c r="A173" s="41"/>
      <c r="B173" s="3" t="s">
        <v>44</v>
      </c>
      <c r="C173" s="9"/>
      <c r="D173" s="5"/>
      <c r="E173" s="5"/>
      <c r="F173" s="5"/>
      <c r="G173" s="4"/>
      <c r="H173" s="4"/>
      <c r="I173" s="5"/>
      <c r="J173" s="6" t="s">
        <v>4</v>
      </c>
      <c r="K173" s="23" t="str">
        <f t="shared" si="6"/>
        <v>string</v>
      </c>
      <c r="L173" s="23" t="str">
        <f t="shared" si="7"/>
        <v/>
      </c>
      <c r="M173" s="20"/>
      <c r="N173" s="20"/>
      <c r="O173" s="20"/>
      <c r="P173" s="20"/>
      <c r="Q173" s="20"/>
      <c r="R173" s="20"/>
      <c r="S173" s="2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</row>
    <row r="174" spans="1:30">
      <c r="A174" s="41"/>
      <c r="B174" s="3" t="s">
        <v>44</v>
      </c>
      <c r="C174" s="9"/>
      <c r="D174" s="7"/>
      <c r="E174" s="7"/>
      <c r="F174" s="7"/>
      <c r="G174" s="6"/>
      <c r="H174" s="6"/>
      <c r="I174" s="7"/>
      <c r="J174" s="6" t="s">
        <v>4</v>
      </c>
      <c r="K174" s="23" t="str">
        <f t="shared" si="0"/>
        <v>string</v>
      </c>
      <c r="L174" s="23" t="str">
        <f t="shared" si="1"/>
        <v/>
      </c>
      <c r="M174" s="7"/>
      <c r="N174" s="7"/>
      <c r="O174" s="7"/>
      <c r="P174" s="7"/>
      <c r="Q174" s="7"/>
      <c r="R174" s="7"/>
      <c r="S174" s="8"/>
    </row>
    <row r="175" spans="1:30">
      <c r="B175" s="27"/>
    </row>
  </sheetData>
  <mergeCells count="1">
    <mergeCell ref="A3:A174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174" xr:uid="{C77DE921-00C9-402E-B063-7FE813E1C579}">
      <formula1>"ON,OFF"</formula1>
    </dataValidation>
    <dataValidation type="list" allowBlank="1" showInputMessage="1" showErrorMessage="1" sqref="Q4:Q174" xr:uid="{973D0976-273D-4B1E-AD82-53B3E7F58099}">
      <formula1>"　,TRUE"</formula1>
    </dataValidation>
    <dataValidation type="list" allowBlank="1" showInputMessage="1" showErrorMessage="1" sqref="J3:J174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68"/>
  <sheetViews>
    <sheetView zoomScaleNormal="100" workbookViewId="0">
      <pane xSplit="4" ySplit="6" topLeftCell="R7" activePane="bottomRight" state="frozen"/>
      <selection pane="topRight" activeCell="E1" sqref="E1"/>
      <selection pane="bottomLeft" activeCell="A7" sqref="A7"/>
      <selection pane="bottomRight" activeCell="V24" sqref="V24:V30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2" t="s">
        <v>9</v>
      </c>
      <c r="C1" s="43"/>
      <c r="D1" s="43"/>
      <c r="E1" s="4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49" t="str">
        <f>"https://rde.nims.go.jp/rde/dataset-templates/"&amp;説明!B3&amp;"/invoice.schema.json"</f>
        <v>https://rde.nims.go.jp/rde/dataset-templates/RDEDatasetTemplateSheet_RDE_ELECTRON_MICROSCOPE_STANDARD_TemDM3/invoice.schema.json</v>
      </c>
      <c r="C2" s="50"/>
      <c r="D2" s="50"/>
      <c r="E2" s="5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5" t="str">
        <f>説明!B4&amp;": 送状定義"</f>
        <v>標準データセットテンプレートRDE_ELECTRON_MICROSCOPE_STANDARDのTemDm3用RDEデータセットテンプレート: 送状定義</v>
      </c>
      <c r="C3" s="46"/>
      <c r="D3" s="46"/>
      <c r="E3" s="4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1395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1399</v>
      </c>
      <c r="D6" s="2" t="s">
        <v>1403</v>
      </c>
      <c r="E6" s="2" t="s">
        <v>1402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1398</v>
      </c>
      <c r="N6" s="2" t="s">
        <v>1400</v>
      </c>
      <c r="O6" s="2" t="s">
        <v>1397</v>
      </c>
      <c r="P6" s="2" t="s">
        <v>1401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8" t="s">
        <v>5</v>
      </c>
      <c r="B7" s="48" t="s">
        <v>33</v>
      </c>
      <c r="C7" s="3" t="s">
        <v>1404</v>
      </c>
      <c r="D7" s="18" t="s">
        <v>1479</v>
      </c>
      <c r="E7" s="19"/>
      <c r="F7" s="15" t="s">
        <v>1480</v>
      </c>
      <c r="G7" s="15" t="s">
        <v>1481</v>
      </c>
      <c r="H7" s="12"/>
      <c r="I7" s="12"/>
      <c r="J7" s="12"/>
      <c r="K7" s="16"/>
      <c r="L7" s="7"/>
      <c r="M7" s="6" t="s">
        <v>4</v>
      </c>
      <c r="N7" s="29" t="str">
        <f>_xlfn.IFS(M7="integer","integer",M7="number","number",M7="boolean","boolean",TRUE,"string")</f>
        <v>string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8"/>
      <c r="B8" s="48"/>
      <c r="C8" s="3" t="s">
        <v>1404</v>
      </c>
      <c r="D8" s="18" t="s">
        <v>1482</v>
      </c>
      <c r="E8" s="19"/>
      <c r="F8" s="15" t="s">
        <v>1483</v>
      </c>
      <c r="G8" s="15" t="s">
        <v>1484</v>
      </c>
      <c r="H8" s="12"/>
      <c r="I8" s="12"/>
      <c r="J8" s="12"/>
      <c r="K8" s="16"/>
      <c r="L8" s="7"/>
      <c r="M8" s="6" t="s">
        <v>4</v>
      </c>
      <c r="N8" s="29" t="str">
        <f t="shared" ref="N8:N43" si="0">_xlfn.IFS(M8="integer","integer",M8="number","number",M8="boolean","boolean",TRUE,"string")</f>
        <v>string</v>
      </c>
      <c r="O8" s="29" t="str">
        <f t="shared" ref="O8:O43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8"/>
      <c r="B9" s="48"/>
      <c r="C9" s="3" t="s">
        <v>1404</v>
      </c>
      <c r="D9" s="18" t="s">
        <v>1485</v>
      </c>
      <c r="E9" s="19"/>
      <c r="F9" s="15" t="s">
        <v>1486</v>
      </c>
      <c r="G9" s="15" t="s">
        <v>1487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8"/>
      <c r="B10" s="48"/>
      <c r="C10" s="3" t="s">
        <v>1404</v>
      </c>
      <c r="D10" s="18" t="s">
        <v>1488</v>
      </c>
      <c r="E10" s="19"/>
      <c r="F10" s="15" t="s">
        <v>1489</v>
      </c>
      <c r="G10" s="15" t="s">
        <v>1490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8"/>
      <c r="B11" s="48"/>
      <c r="C11" s="3" t="s">
        <v>1404</v>
      </c>
      <c r="D11" s="18" t="s">
        <v>1491</v>
      </c>
      <c r="E11" s="19"/>
      <c r="F11" s="15" t="s">
        <v>1492</v>
      </c>
      <c r="G11" s="15" t="s">
        <v>1493</v>
      </c>
      <c r="H11" s="12"/>
      <c r="I11" s="12"/>
      <c r="J11" s="12"/>
      <c r="K11" s="16"/>
      <c r="L11" s="7"/>
      <c r="M11" s="6" t="s">
        <v>1494</v>
      </c>
      <c r="N11" s="29" t="str">
        <f t="shared" si="0"/>
        <v>string</v>
      </c>
      <c r="O11" s="29" t="str">
        <f t="shared" si="1"/>
        <v/>
      </c>
      <c r="P11" s="29"/>
      <c r="Q11" s="19"/>
      <c r="R11" s="19" t="s">
        <v>1583</v>
      </c>
      <c r="S11" s="12"/>
      <c r="T11" s="12"/>
      <c r="U11" s="12" t="s">
        <v>1584</v>
      </c>
      <c r="V11" s="12" t="s">
        <v>1974</v>
      </c>
      <c r="W11" s="12"/>
      <c r="X11" s="12"/>
      <c r="Y11" s="12"/>
      <c r="Z11" s="12"/>
      <c r="AA11" s="12"/>
      <c r="AB11" s="12"/>
      <c r="AC11" s="12"/>
    </row>
    <row r="12" spans="1:29">
      <c r="A12" s="48"/>
      <c r="B12" s="48"/>
      <c r="C12" s="3" t="s">
        <v>1404</v>
      </c>
      <c r="D12" s="18" t="s">
        <v>1495</v>
      </c>
      <c r="E12" s="19"/>
      <c r="F12" s="15" t="s">
        <v>1496</v>
      </c>
      <c r="G12" s="15" t="s">
        <v>1497</v>
      </c>
      <c r="H12" s="12"/>
      <c r="I12" s="12"/>
      <c r="J12" s="12" t="s">
        <v>1498</v>
      </c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 t="s">
        <v>1584</v>
      </c>
      <c r="V12" s="12" t="s">
        <v>1974</v>
      </c>
      <c r="W12" s="12"/>
      <c r="X12" s="12"/>
      <c r="Y12" s="12"/>
      <c r="Z12" s="12"/>
      <c r="AA12" s="12"/>
      <c r="AB12" s="12"/>
      <c r="AC12" s="12"/>
    </row>
    <row r="13" spans="1:29">
      <c r="A13" s="48"/>
      <c r="B13" s="48"/>
      <c r="C13" s="3" t="s">
        <v>1404</v>
      </c>
      <c r="D13" s="18" t="s">
        <v>1499</v>
      </c>
      <c r="E13" s="19"/>
      <c r="F13" s="15" t="s">
        <v>1500</v>
      </c>
      <c r="G13" s="15" t="s">
        <v>1501</v>
      </c>
      <c r="H13" s="12"/>
      <c r="I13" s="12"/>
      <c r="J13" s="12" t="s">
        <v>1498</v>
      </c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/>
      <c r="T13" s="12"/>
      <c r="U13" s="12" t="s">
        <v>1584</v>
      </c>
      <c r="V13" s="12" t="s">
        <v>1974</v>
      </c>
      <c r="W13" s="12"/>
      <c r="X13" s="12"/>
      <c r="Y13" s="12"/>
      <c r="Z13" s="12"/>
      <c r="AA13" s="12"/>
      <c r="AB13" s="12"/>
      <c r="AC13" s="12"/>
    </row>
    <row r="14" spans="1:29">
      <c r="A14" s="48"/>
      <c r="B14" s="48"/>
      <c r="C14" s="3" t="s">
        <v>1404</v>
      </c>
      <c r="D14" s="18" t="s">
        <v>1502</v>
      </c>
      <c r="E14" s="19"/>
      <c r="F14" s="15" t="s">
        <v>1503</v>
      </c>
      <c r="G14" s="15" t="s">
        <v>1504</v>
      </c>
      <c r="H14" s="12"/>
      <c r="I14" s="12"/>
      <c r="J14" s="12" t="s">
        <v>1498</v>
      </c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/>
      <c r="T14" s="12"/>
      <c r="U14" s="12" t="s">
        <v>1584</v>
      </c>
      <c r="V14" s="12" t="s">
        <v>1974</v>
      </c>
      <c r="W14" s="12"/>
      <c r="X14" s="12"/>
      <c r="Y14" s="12"/>
      <c r="Z14" s="12"/>
      <c r="AA14" s="12"/>
      <c r="AB14" s="12"/>
      <c r="AC14" s="12"/>
    </row>
    <row r="15" spans="1:29">
      <c r="A15" s="48"/>
      <c r="B15" s="48"/>
      <c r="C15" s="3" t="s">
        <v>1404</v>
      </c>
      <c r="D15" s="18" t="s">
        <v>1505</v>
      </c>
      <c r="E15" s="19"/>
      <c r="F15" s="15" t="s">
        <v>1506</v>
      </c>
      <c r="G15" s="15" t="s">
        <v>1507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/>
      <c r="T15" s="12"/>
      <c r="U15" s="12" t="s">
        <v>1584</v>
      </c>
      <c r="V15" s="12" t="s">
        <v>1974</v>
      </c>
      <c r="W15" s="12"/>
      <c r="X15" s="12"/>
      <c r="Y15" s="12"/>
      <c r="Z15" s="12"/>
      <c r="AA15" s="12"/>
      <c r="AB15" s="12"/>
      <c r="AC15" s="12"/>
    </row>
    <row r="16" spans="1:29">
      <c r="A16" s="48"/>
      <c r="B16" s="48"/>
      <c r="C16" s="3" t="s">
        <v>1404</v>
      </c>
      <c r="D16" s="18" t="s">
        <v>1508</v>
      </c>
      <c r="E16" s="19"/>
      <c r="F16" s="15" t="s">
        <v>1509</v>
      </c>
      <c r="G16" s="15" t="s">
        <v>1510</v>
      </c>
      <c r="H16" s="12"/>
      <c r="I16" s="12"/>
      <c r="J16" s="12" t="s">
        <v>1511</v>
      </c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/>
      <c r="T16" s="12"/>
      <c r="U16" s="12" t="s">
        <v>1584</v>
      </c>
      <c r="V16" s="12" t="s">
        <v>1974</v>
      </c>
      <c r="W16" s="12"/>
      <c r="X16" s="12"/>
      <c r="Y16" s="12"/>
      <c r="Z16" s="12"/>
      <c r="AA16" s="12"/>
      <c r="AB16" s="12"/>
      <c r="AC16" s="12"/>
    </row>
    <row r="17" spans="1:29">
      <c r="A17" s="48"/>
      <c r="B17" s="48"/>
      <c r="C17" s="3" t="s">
        <v>1404</v>
      </c>
      <c r="D17" s="18" t="s">
        <v>1512</v>
      </c>
      <c r="E17" s="19"/>
      <c r="F17" s="15" t="s">
        <v>1513</v>
      </c>
      <c r="G17" s="15" t="s">
        <v>1514</v>
      </c>
      <c r="H17" s="12"/>
      <c r="I17" s="12"/>
      <c r="J17" s="12"/>
      <c r="K17" s="16"/>
      <c r="L17" s="7"/>
      <c r="M17" s="6" t="s">
        <v>4</v>
      </c>
      <c r="N17" s="29" t="str">
        <f t="shared" si="0"/>
        <v>string</v>
      </c>
      <c r="O17" s="29" t="str">
        <f t="shared" si="1"/>
        <v/>
      </c>
      <c r="P17" s="29"/>
      <c r="Q17" s="19"/>
      <c r="R17" s="19"/>
      <c r="S17" s="12"/>
      <c r="T17" s="12"/>
      <c r="U17" s="12" t="s">
        <v>1584</v>
      </c>
      <c r="V17" s="12" t="s">
        <v>1974</v>
      </c>
      <c r="W17" s="12"/>
      <c r="X17" s="12"/>
      <c r="Y17" s="12"/>
      <c r="Z17" s="12"/>
      <c r="AA17" s="12"/>
      <c r="AB17" s="12"/>
      <c r="AC17" s="12"/>
    </row>
    <row r="18" spans="1:29">
      <c r="A18" s="48"/>
      <c r="B18" s="48"/>
      <c r="C18" s="3" t="s">
        <v>1404</v>
      </c>
      <c r="D18" s="18" t="s">
        <v>1515</v>
      </c>
      <c r="E18" s="19"/>
      <c r="F18" s="15" t="s">
        <v>1516</v>
      </c>
      <c r="G18" s="15" t="s">
        <v>1517</v>
      </c>
      <c r="H18" s="12"/>
      <c r="I18" s="12"/>
      <c r="J18" s="12"/>
      <c r="K18" s="16"/>
      <c r="L18" s="7"/>
      <c r="M18" s="6" t="s">
        <v>1494</v>
      </c>
      <c r="N18" s="29" t="str">
        <f t="shared" si="0"/>
        <v>string</v>
      </c>
      <c r="O18" s="29" t="str">
        <f t="shared" si="1"/>
        <v/>
      </c>
      <c r="P18" s="29"/>
      <c r="Q18" s="19"/>
      <c r="R18" s="19" t="s">
        <v>1585</v>
      </c>
      <c r="S18" s="12"/>
      <c r="T18" s="12"/>
      <c r="U18" s="12" t="s">
        <v>1586</v>
      </c>
      <c r="V18" s="12" t="s">
        <v>1975</v>
      </c>
      <c r="W18" s="12"/>
      <c r="X18" s="12"/>
      <c r="Y18" s="12"/>
      <c r="Z18" s="12"/>
      <c r="AA18" s="12"/>
      <c r="AB18" s="12"/>
      <c r="AC18" s="12"/>
    </row>
    <row r="19" spans="1:29">
      <c r="A19" s="48"/>
      <c r="B19" s="48"/>
      <c r="C19" s="3" t="s">
        <v>1404</v>
      </c>
      <c r="D19" s="18" t="s">
        <v>1518</v>
      </c>
      <c r="E19" s="19"/>
      <c r="F19" s="15" t="s">
        <v>1519</v>
      </c>
      <c r="G19" s="15" t="s">
        <v>1520</v>
      </c>
      <c r="H19" s="12"/>
      <c r="I19" s="12"/>
      <c r="J19" s="12" t="s">
        <v>1498</v>
      </c>
      <c r="K19" s="16"/>
      <c r="L19" s="7"/>
      <c r="M19" s="6" t="s">
        <v>4</v>
      </c>
      <c r="N19" s="29" t="str">
        <f t="shared" si="0"/>
        <v>string</v>
      </c>
      <c r="O19" s="29" t="str">
        <f t="shared" si="1"/>
        <v/>
      </c>
      <c r="P19" s="29"/>
      <c r="Q19" s="19"/>
      <c r="R19" s="19"/>
      <c r="S19" s="12"/>
      <c r="T19" s="12"/>
      <c r="U19" s="12" t="s">
        <v>1586</v>
      </c>
      <c r="V19" s="12" t="s">
        <v>1975</v>
      </c>
      <c r="W19" s="12"/>
      <c r="X19" s="12"/>
      <c r="Y19" s="12"/>
      <c r="Z19" s="12"/>
      <c r="AA19" s="12"/>
      <c r="AB19" s="12"/>
      <c r="AC19" s="12"/>
    </row>
    <row r="20" spans="1:29">
      <c r="A20" s="48"/>
      <c r="B20" s="48"/>
      <c r="C20" s="3" t="s">
        <v>1404</v>
      </c>
      <c r="D20" s="18" t="s">
        <v>1521</v>
      </c>
      <c r="E20" s="19"/>
      <c r="F20" s="15" t="s">
        <v>1522</v>
      </c>
      <c r="G20" s="15" t="s">
        <v>1523</v>
      </c>
      <c r="H20" s="12"/>
      <c r="I20" s="12"/>
      <c r="J20" s="12" t="s">
        <v>1498</v>
      </c>
      <c r="K20" s="16"/>
      <c r="L20" s="7"/>
      <c r="M20" s="6" t="s">
        <v>4</v>
      </c>
      <c r="N20" s="29" t="str">
        <f t="shared" si="0"/>
        <v>string</v>
      </c>
      <c r="O20" s="29" t="str">
        <f t="shared" si="1"/>
        <v/>
      </c>
      <c r="P20" s="29"/>
      <c r="Q20" s="19"/>
      <c r="R20" s="19"/>
      <c r="S20" s="12"/>
      <c r="T20" s="12"/>
      <c r="U20" s="12" t="s">
        <v>1586</v>
      </c>
      <c r="V20" s="12" t="s">
        <v>1975</v>
      </c>
      <c r="W20" s="12"/>
      <c r="X20" s="12"/>
      <c r="Y20" s="12"/>
      <c r="Z20" s="12"/>
      <c r="AA20" s="12"/>
      <c r="AB20" s="12"/>
      <c r="AC20" s="12"/>
    </row>
    <row r="21" spans="1:29">
      <c r="A21" s="48"/>
      <c r="B21" s="48"/>
      <c r="C21" s="3" t="s">
        <v>1404</v>
      </c>
      <c r="D21" s="18" t="s">
        <v>1524</v>
      </c>
      <c r="E21" s="19"/>
      <c r="F21" s="15" t="s">
        <v>1506</v>
      </c>
      <c r="G21" s="15" t="s">
        <v>1507</v>
      </c>
      <c r="H21" s="12"/>
      <c r="I21" s="12"/>
      <c r="J21" s="12"/>
      <c r="K21" s="16"/>
      <c r="L21" s="7"/>
      <c r="M21" s="6" t="s">
        <v>4</v>
      </c>
      <c r="N21" s="29" t="str">
        <f t="shared" si="0"/>
        <v>string</v>
      </c>
      <c r="O21" s="29" t="str">
        <f t="shared" si="1"/>
        <v/>
      </c>
      <c r="P21" s="29"/>
      <c r="Q21" s="19"/>
      <c r="R21" s="19"/>
      <c r="S21" s="12"/>
      <c r="T21" s="12"/>
      <c r="U21" s="12" t="s">
        <v>1586</v>
      </c>
      <c r="V21" s="12" t="s">
        <v>1975</v>
      </c>
      <c r="W21" s="12"/>
      <c r="X21" s="12"/>
      <c r="Y21" s="12"/>
      <c r="Z21" s="12"/>
      <c r="AA21" s="12"/>
      <c r="AB21" s="12"/>
      <c r="AC21" s="12"/>
    </row>
    <row r="22" spans="1:29">
      <c r="A22" s="48"/>
      <c r="B22" s="48"/>
      <c r="C22" s="3" t="s">
        <v>1404</v>
      </c>
      <c r="D22" s="18" t="s">
        <v>1525</v>
      </c>
      <c r="E22" s="19"/>
      <c r="F22" s="15" t="s">
        <v>1509</v>
      </c>
      <c r="G22" s="15" t="s">
        <v>1510</v>
      </c>
      <c r="H22" s="12"/>
      <c r="I22" s="12"/>
      <c r="J22" s="12" t="s">
        <v>1511</v>
      </c>
      <c r="K22" s="16"/>
      <c r="L22" s="7"/>
      <c r="M22" s="6" t="s">
        <v>4</v>
      </c>
      <c r="N22" s="29" t="str">
        <f t="shared" si="0"/>
        <v>string</v>
      </c>
      <c r="O22" s="29" t="str">
        <f t="shared" si="1"/>
        <v/>
      </c>
      <c r="P22" s="29"/>
      <c r="Q22" s="19"/>
      <c r="R22" s="19"/>
      <c r="S22" s="12"/>
      <c r="T22" s="12"/>
      <c r="U22" s="12" t="s">
        <v>1586</v>
      </c>
      <c r="V22" s="12" t="s">
        <v>1975</v>
      </c>
      <c r="W22" s="12"/>
      <c r="X22" s="12"/>
      <c r="Y22" s="12"/>
      <c r="Z22" s="12"/>
      <c r="AA22" s="12"/>
      <c r="AB22" s="12"/>
      <c r="AC22" s="12"/>
    </row>
    <row r="23" spans="1:29">
      <c r="A23" s="48"/>
      <c r="B23" s="48"/>
      <c r="C23" s="3" t="s">
        <v>1404</v>
      </c>
      <c r="D23" s="18" t="s">
        <v>1526</v>
      </c>
      <c r="E23" s="19"/>
      <c r="F23" s="15" t="s">
        <v>1513</v>
      </c>
      <c r="G23" s="15" t="s">
        <v>1514</v>
      </c>
      <c r="H23" s="12"/>
      <c r="I23" s="12"/>
      <c r="J23" s="12"/>
      <c r="K23" s="16"/>
      <c r="L23" s="7"/>
      <c r="M23" s="6" t="s">
        <v>4</v>
      </c>
      <c r="N23" s="29" t="str">
        <f t="shared" si="0"/>
        <v>string</v>
      </c>
      <c r="O23" s="29" t="str">
        <f t="shared" si="1"/>
        <v/>
      </c>
      <c r="P23" s="29"/>
      <c r="Q23" s="19"/>
      <c r="R23" s="19"/>
      <c r="S23" s="12"/>
      <c r="T23" s="12"/>
      <c r="U23" s="12" t="s">
        <v>1586</v>
      </c>
      <c r="V23" s="12" t="s">
        <v>1975</v>
      </c>
      <c r="W23" s="12"/>
      <c r="X23" s="12"/>
      <c r="Y23" s="12"/>
      <c r="Z23" s="12"/>
      <c r="AA23" s="12"/>
      <c r="AB23" s="12"/>
      <c r="AC23" s="12"/>
    </row>
    <row r="24" spans="1:29">
      <c r="A24" s="48"/>
      <c r="B24" s="48"/>
      <c r="C24" s="3" t="s">
        <v>1404</v>
      </c>
      <c r="D24" s="18" t="s">
        <v>1527</v>
      </c>
      <c r="E24" s="19"/>
      <c r="F24" s="15" t="s">
        <v>1496</v>
      </c>
      <c r="G24" s="15" t="s">
        <v>1497</v>
      </c>
      <c r="H24" s="12"/>
      <c r="I24" s="12"/>
      <c r="J24" s="12" t="s">
        <v>1498</v>
      </c>
      <c r="K24" s="16"/>
      <c r="L24" s="7"/>
      <c r="M24" s="6" t="s">
        <v>4</v>
      </c>
      <c r="N24" s="29" t="str">
        <f t="shared" si="0"/>
        <v>string</v>
      </c>
      <c r="O24" s="29" t="str">
        <f t="shared" si="1"/>
        <v/>
      </c>
      <c r="P24" s="29"/>
      <c r="Q24" s="19"/>
      <c r="R24" s="19"/>
      <c r="S24" s="12"/>
      <c r="T24" s="12"/>
      <c r="U24" s="12" t="s">
        <v>1587</v>
      </c>
      <c r="V24" s="12" t="s">
        <v>1976</v>
      </c>
      <c r="W24" s="12"/>
      <c r="X24" s="12"/>
      <c r="Y24" s="12"/>
      <c r="Z24" s="12"/>
      <c r="AA24" s="12"/>
      <c r="AB24" s="12"/>
      <c r="AC24" s="12"/>
    </row>
    <row r="25" spans="1:29">
      <c r="A25" s="48"/>
      <c r="B25" s="48"/>
      <c r="C25" s="3" t="s">
        <v>1404</v>
      </c>
      <c r="D25" s="18" t="s">
        <v>1528</v>
      </c>
      <c r="E25" s="19"/>
      <c r="F25" s="15" t="s">
        <v>1529</v>
      </c>
      <c r="G25" s="15" t="s">
        <v>1530</v>
      </c>
      <c r="H25" s="12"/>
      <c r="I25" s="12"/>
      <c r="J25" s="12" t="s">
        <v>1498</v>
      </c>
      <c r="K25" s="16"/>
      <c r="L25" s="7"/>
      <c r="M25" s="6" t="s">
        <v>4</v>
      </c>
      <c r="N25" s="29" t="str">
        <f t="shared" si="0"/>
        <v>string</v>
      </c>
      <c r="O25" s="29" t="str">
        <f t="shared" si="1"/>
        <v/>
      </c>
      <c r="P25" s="29"/>
      <c r="Q25" s="19"/>
      <c r="R25" s="19"/>
      <c r="S25" s="12"/>
      <c r="T25" s="12"/>
      <c r="U25" s="12" t="s">
        <v>1587</v>
      </c>
      <c r="V25" s="12" t="s">
        <v>1976</v>
      </c>
      <c r="W25" s="12"/>
      <c r="X25" s="12"/>
      <c r="Y25" s="12"/>
      <c r="Z25" s="12"/>
      <c r="AA25" s="12"/>
      <c r="AB25" s="12"/>
      <c r="AC25" s="12"/>
    </row>
    <row r="26" spans="1:29">
      <c r="A26" s="48"/>
      <c r="B26" s="48"/>
      <c r="C26" s="3" t="s">
        <v>1404</v>
      </c>
      <c r="D26" s="18" t="s">
        <v>1531</v>
      </c>
      <c r="E26" s="19"/>
      <c r="F26" s="15" t="s">
        <v>1506</v>
      </c>
      <c r="G26" s="15" t="s">
        <v>1507</v>
      </c>
      <c r="H26" s="12"/>
      <c r="I26" s="12"/>
      <c r="J26" s="12"/>
      <c r="K26" s="16"/>
      <c r="L26" s="7"/>
      <c r="M26" s="6" t="s">
        <v>4</v>
      </c>
      <c r="N26" s="29" t="str">
        <f t="shared" si="0"/>
        <v>string</v>
      </c>
      <c r="O26" s="29" t="str">
        <f t="shared" si="1"/>
        <v/>
      </c>
      <c r="P26" s="29"/>
      <c r="Q26" s="19"/>
      <c r="R26" s="19"/>
      <c r="S26" s="12"/>
      <c r="T26" s="12"/>
      <c r="U26" s="12" t="s">
        <v>1587</v>
      </c>
      <c r="V26" s="12" t="s">
        <v>1976</v>
      </c>
      <c r="W26" s="12"/>
      <c r="X26" s="12"/>
      <c r="Y26" s="12"/>
      <c r="Z26" s="12"/>
      <c r="AA26" s="12"/>
      <c r="AB26" s="12"/>
      <c r="AC26" s="12"/>
    </row>
    <row r="27" spans="1:29">
      <c r="A27" s="48"/>
      <c r="B27" s="48"/>
      <c r="C27" s="3" t="s">
        <v>1404</v>
      </c>
      <c r="D27" s="18" t="s">
        <v>1532</v>
      </c>
      <c r="E27" s="19"/>
      <c r="F27" s="15" t="s">
        <v>1533</v>
      </c>
      <c r="G27" s="15" t="s">
        <v>1534</v>
      </c>
      <c r="H27" s="12"/>
      <c r="I27" s="12"/>
      <c r="J27" s="12" t="s">
        <v>1535</v>
      </c>
      <c r="K27" s="16"/>
      <c r="L27" s="7"/>
      <c r="M27" s="6" t="s">
        <v>4</v>
      </c>
      <c r="N27" s="29" t="str">
        <f t="shared" si="0"/>
        <v>string</v>
      </c>
      <c r="O27" s="29" t="str">
        <f t="shared" si="1"/>
        <v/>
      </c>
      <c r="P27" s="29"/>
      <c r="Q27" s="19"/>
      <c r="R27" s="19"/>
      <c r="S27" s="12"/>
      <c r="T27" s="12"/>
      <c r="U27" s="12" t="s">
        <v>1587</v>
      </c>
      <c r="V27" s="12" t="s">
        <v>1976</v>
      </c>
      <c r="W27" s="12"/>
      <c r="X27" s="12"/>
      <c r="Y27" s="12"/>
      <c r="Z27" s="12"/>
      <c r="AA27" s="12"/>
      <c r="AB27" s="12"/>
      <c r="AC27" s="12"/>
    </row>
    <row r="28" spans="1:29">
      <c r="A28" s="48"/>
      <c r="B28" s="48"/>
      <c r="C28" s="3" t="s">
        <v>1404</v>
      </c>
      <c r="D28" s="18" t="s">
        <v>1536</v>
      </c>
      <c r="E28" s="19"/>
      <c r="F28" s="15" t="s">
        <v>1537</v>
      </c>
      <c r="G28" s="15" t="s">
        <v>1538</v>
      </c>
      <c r="H28" s="12"/>
      <c r="I28" s="12"/>
      <c r="J28" s="12" t="s">
        <v>1539</v>
      </c>
      <c r="K28" s="16"/>
      <c r="L28" s="7"/>
      <c r="M28" s="6" t="s">
        <v>4</v>
      </c>
      <c r="N28" s="29" t="str">
        <f t="shared" si="0"/>
        <v>string</v>
      </c>
      <c r="O28" s="29" t="str">
        <f t="shared" si="1"/>
        <v/>
      </c>
      <c r="P28" s="29"/>
      <c r="Q28" s="19"/>
      <c r="R28" s="19"/>
      <c r="S28" s="12"/>
      <c r="T28" s="12"/>
      <c r="U28" s="12" t="s">
        <v>1587</v>
      </c>
      <c r="V28" s="12" t="s">
        <v>1976</v>
      </c>
      <c r="W28" s="12"/>
      <c r="X28" s="12"/>
      <c r="Y28" s="12"/>
      <c r="Z28" s="12"/>
      <c r="AA28" s="12"/>
      <c r="AB28" s="12"/>
      <c r="AC28" s="12"/>
    </row>
    <row r="29" spans="1:29">
      <c r="A29" s="48"/>
      <c r="B29" s="48"/>
      <c r="C29" s="3" t="s">
        <v>1404</v>
      </c>
      <c r="D29" s="18" t="s">
        <v>1540</v>
      </c>
      <c r="E29" s="19"/>
      <c r="F29" s="15" t="s">
        <v>1541</v>
      </c>
      <c r="G29" s="15" t="s">
        <v>1542</v>
      </c>
      <c r="H29" s="12"/>
      <c r="I29" s="12"/>
      <c r="J29" s="12"/>
      <c r="K29" s="16"/>
      <c r="L29" s="7"/>
      <c r="M29" s="6" t="s">
        <v>4</v>
      </c>
      <c r="N29" s="29" t="str">
        <f t="shared" si="0"/>
        <v>string</v>
      </c>
      <c r="O29" s="29" t="str">
        <f t="shared" si="1"/>
        <v/>
      </c>
      <c r="P29" s="29"/>
      <c r="Q29" s="19"/>
      <c r="R29" s="19"/>
      <c r="S29" s="12"/>
      <c r="T29" s="12"/>
      <c r="U29" s="12" t="s">
        <v>1587</v>
      </c>
      <c r="V29" s="12" t="s">
        <v>1976</v>
      </c>
      <c r="W29" s="12"/>
      <c r="X29" s="12"/>
      <c r="Y29" s="12"/>
      <c r="Z29" s="12"/>
      <c r="AA29" s="12"/>
      <c r="AB29" s="12"/>
      <c r="AC29" s="12"/>
    </row>
    <row r="30" spans="1:29">
      <c r="A30" s="48"/>
      <c r="B30" s="48"/>
      <c r="C30" s="3" t="s">
        <v>1404</v>
      </c>
      <c r="D30" s="18" t="s">
        <v>1543</v>
      </c>
      <c r="E30" s="19"/>
      <c r="F30" s="15" t="s">
        <v>1544</v>
      </c>
      <c r="G30" s="15" t="s">
        <v>1545</v>
      </c>
      <c r="H30" s="12"/>
      <c r="I30" s="12"/>
      <c r="J30" s="12"/>
      <c r="K30" s="16"/>
      <c r="L30" s="7"/>
      <c r="M30" s="6" t="s">
        <v>4</v>
      </c>
      <c r="N30" s="29" t="str">
        <f t="shared" si="0"/>
        <v>string</v>
      </c>
      <c r="O30" s="29" t="str">
        <f t="shared" si="1"/>
        <v/>
      </c>
      <c r="P30" s="29"/>
      <c r="Q30" s="19"/>
      <c r="R30" s="19"/>
      <c r="S30" s="12"/>
      <c r="T30" s="12"/>
      <c r="U30" s="12" t="s">
        <v>1587</v>
      </c>
      <c r="V30" s="12" t="s">
        <v>1976</v>
      </c>
      <c r="W30" s="12"/>
      <c r="X30" s="12"/>
      <c r="Y30" s="12"/>
      <c r="Z30" s="12"/>
      <c r="AA30" s="12"/>
      <c r="AB30" s="12"/>
      <c r="AC30" s="12"/>
    </row>
    <row r="31" spans="1:29">
      <c r="A31" s="48"/>
      <c r="B31" s="48"/>
      <c r="C31" s="3" t="s">
        <v>1404</v>
      </c>
      <c r="D31" s="18" t="s">
        <v>1546</v>
      </c>
      <c r="E31" s="19"/>
      <c r="F31" s="15" t="s">
        <v>1547</v>
      </c>
      <c r="G31" s="15" t="s">
        <v>1548</v>
      </c>
      <c r="H31" s="12"/>
      <c r="I31" s="12"/>
      <c r="J31" s="12"/>
      <c r="K31" s="16"/>
      <c r="L31" s="7"/>
      <c r="M31" s="6" t="s">
        <v>4</v>
      </c>
      <c r="N31" s="29" t="str">
        <f t="shared" si="0"/>
        <v>string</v>
      </c>
      <c r="O31" s="29" t="str">
        <f t="shared" si="1"/>
        <v/>
      </c>
      <c r="P31" s="29"/>
      <c r="Q31" s="19"/>
      <c r="R31" s="19"/>
      <c r="S31" s="12" t="s">
        <v>1588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>
      <c r="A32" s="48"/>
      <c r="B32" s="48"/>
      <c r="C32" s="3" t="s">
        <v>1404</v>
      </c>
      <c r="D32" s="18" t="s">
        <v>1549</v>
      </c>
      <c r="E32" s="19"/>
      <c r="F32" s="15" t="s">
        <v>1550</v>
      </c>
      <c r="G32" s="15" t="s">
        <v>1551</v>
      </c>
      <c r="H32" s="12"/>
      <c r="I32" s="12"/>
      <c r="J32" s="12"/>
      <c r="K32" s="16"/>
      <c r="L32" s="7"/>
      <c r="M32" s="6" t="s">
        <v>4</v>
      </c>
      <c r="N32" s="29" t="str">
        <f t="shared" si="0"/>
        <v>string</v>
      </c>
      <c r="O32" s="29" t="str">
        <f t="shared" si="1"/>
        <v/>
      </c>
      <c r="P32" s="29"/>
      <c r="Q32" s="19"/>
      <c r="R32" s="19"/>
      <c r="S32" s="12" t="s">
        <v>1589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>
      <c r="A33" s="48"/>
      <c r="B33" s="48"/>
      <c r="C33" s="3" t="s">
        <v>1404</v>
      </c>
      <c r="D33" s="18" t="s">
        <v>1552</v>
      </c>
      <c r="E33" s="19"/>
      <c r="F33" s="15" t="s">
        <v>1553</v>
      </c>
      <c r="G33" s="15" t="s">
        <v>1554</v>
      </c>
      <c r="H33" s="12"/>
      <c r="I33" s="12"/>
      <c r="J33" s="12"/>
      <c r="K33" s="16"/>
      <c r="L33" s="7"/>
      <c r="M33" s="6" t="s">
        <v>4</v>
      </c>
      <c r="N33" s="29" t="str">
        <f t="shared" si="0"/>
        <v>string</v>
      </c>
      <c r="O33" s="29" t="str">
        <f t="shared" si="1"/>
        <v/>
      </c>
      <c r="P33" s="29"/>
      <c r="Q33" s="19"/>
      <c r="R33" s="19"/>
      <c r="S33" s="12" t="s">
        <v>1590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>
      <c r="A34" s="48"/>
      <c r="B34" s="48"/>
      <c r="C34" s="3" t="s">
        <v>1404</v>
      </c>
      <c r="D34" s="18" t="s">
        <v>1555</v>
      </c>
      <c r="E34" s="19"/>
      <c r="F34" s="15" t="s">
        <v>1556</v>
      </c>
      <c r="G34" s="15" t="s">
        <v>1557</v>
      </c>
      <c r="H34" s="12"/>
      <c r="I34" s="12"/>
      <c r="J34" s="12"/>
      <c r="K34" s="16"/>
      <c r="L34" s="7"/>
      <c r="M34" s="6" t="s">
        <v>4</v>
      </c>
      <c r="N34" s="29" t="str">
        <f t="shared" si="0"/>
        <v>string</v>
      </c>
      <c r="O34" s="29" t="str">
        <f t="shared" si="1"/>
        <v/>
      </c>
      <c r="P34" s="29"/>
      <c r="Q34" s="19"/>
      <c r="R34" s="19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>
      <c r="A35" s="48"/>
      <c r="B35" s="48"/>
      <c r="C35" s="3" t="s">
        <v>1404</v>
      </c>
      <c r="D35" s="18" t="s">
        <v>1558</v>
      </c>
      <c r="E35" s="19"/>
      <c r="F35" s="15" t="s">
        <v>1559</v>
      </c>
      <c r="G35" s="15" t="s">
        <v>1560</v>
      </c>
      <c r="H35" s="12"/>
      <c r="I35" s="12"/>
      <c r="J35" s="12"/>
      <c r="K35" s="16"/>
      <c r="L35" s="7"/>
      <c r="M35" s="6" t="s">
        <v>4</v>
      </c>
      <c r="N35" s="29" t="str">
        <f t="shared" si="0"/>
        <v>string</v>
      </c>
      <c r="O35" s="29" t="str">
        <f t="shared" si="1"/>
        <v/>
      </c>
      <c r="P35" s="29"/>
      <c r="Q35" s="19"/>
      <c r="R35" s="19"/>
      <c r="S35" s="12"/>
      <c r="T35" s="12"/>
      <c r="U35" s="12" t="s">
        <v>1591</v>
      </c>
      <c r="V35" s="12" t="s">
        <v>1592</v>
      </c>
      <c r="W35" s="12"/>
      <c r="X35" s="12"/>
      <c r="Y35" s="12"/>
      <c r="Z35" s="12"/>
      <c r="AA35" s="12"/>
      <c r="AB35" s="12"/>
      <c r="AC35" s="12"/>
    </row>
    <row r="36" spans="1:29">
      <c r="A36" s="48"/>
      <c r="B36" s="48"/>
      <c r="C36" s="3" t="s">
        <v>1404</v>
      </c>
      <c r="D36" s="18" t="s">
        <v>1561</v>
      </c>
      <c r="E36" s="19"/>
      <c r="F36" s="15" t="s">
        <v>1562</v>
      </c>
      <c r="G36" s="15" t="s">
        <v>1563</v>
      </c>
      <c r="H36" s="12"/>
      <c r="I36" s="12"/>
      <c r="J36" s="12"/>
      <c r="K36" s="16"/>
      <c r="L36" s="7"/>
      <c r="M36" s="6" t="s">
        <v>4</v>
      </c>
      <c r="N36" s="29" t="str">
        <f t="shared" si="0"/>
        <v>string</v>
      </c>
      <c r="O36" s="29" t="str">
        <f t="shared" si="1"/>
        <v/>
      </c>
      <c r="P36" s="29"/>
      <c r="Q36" s="19"/>
      <c r="R36" s="19"/>
      <c r="S36" s="12"/>
      <c r="T36" s="12"/>
      <c r="U36" s="12" t="s">
        <v>1591</v>
      </c>
      <c r="V36" s="12" t="s">
        <v>1592</v>
      </c>
      <c r="W36" s="12"/>
      <c r="X36" s="12"/>
      <c r="Y36" s="12"/>
      <c r="Z36" s="12"/>
      <c r="AA36" s="12"/>
      <c r="AB36" s="12"/>
      <c r="AC36" s="12"/>
    </row>
    <row r="37" spans="1:29">
      <c r="A37" s="48"/>
      <c r="B37" s="48"/>
      <c r="C37" s="3" t="s">
        <v>1404</v>
      </c>
      <c r="D37" s="18" t="s">
        <v>1564</v>
      </c>
      <c r="E37" s="19"/>
      <c r="F37" s="15" t="s">
        <v>1565</v>
      </c>
      <c r="G37" s="15" t="s">
        <v>1566</v>
      </c>
      <c r="H37" s="12"/>
      <c r="I37" s="12"/>
      <c r="J37" s="12"/>
      <c r="K37" s="16"/>
      <c r="L37" s="7"/>
      <c r="M37" s="6" t="s">
        <v>4</v>
      </c>
      <c r="N37" s="29" t="str">
        <f t="shared" si="0"/>
        <v>string</v>
      </c>
      <c r="O37" s="29" t="str">
        <f t="shared" si="1"/>
        <v/>
      </c>
      <c r="P37" s="29"/>
      <c r="Q37" s="19"/>
      <c r="R37" s="19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>
      <c r="A38" s="48"/>
      <c r="B38" s="48"/>
      <c r="C38" s="3" t="s">
        <v>1404</v>
      </c>
      <c r="D38" s="18" t="s">
        <v>1567</v>
      </c>
      <c r="E38" s="19"/>
      <c r="F38" s="15" t="s">
        <v>1568</v>
      </c>
      <c r="G38" s="15" t="s">
        <v>1569</v>
      </c>
      <c r="H38" s="12"/>
      <c r="I38" s="12"/>
      <c r="J38" s="12"/>
      <c r="K38" s="16"/>
      <c r="L38" s="7"/>
      <c r="M38" s="6" t="s">
        <v>4</v>
      </c>
      <c r="N38" s="29" t="str">
        <f t="shared" si="0"/>
        <v>string</v>
      </c>
      <c r="O38" s="29" t="str">
        <f t="shared" si="1"/>
        <v/>
      </c>
      <c r="P38" s="29"/>
      <c r="Q38" s="19"/>
      <c r="R38" s="19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>
      <c r="A39" s="48"/>
      <c r="B39" s="48"/>
      <c r="C39" s="3" t="s">
        <v>1404</v>
      </c>
      <c r="D39" s="18" t="s">
        <v>1570</v>
      </c>
      <c r="E39" s="19"/>
      <c r="F39" s="15" t="s">
        <v>1571</v>
      </c>
      <c r="G39" s="15" t="s">
        <v>1572</v>
      </c>
      <c r="H39" s="12"/>
      <c r="I39" s="12"/>
      <c r="J39" s="12"/>
      <c r="K39" s="16"/>
      <c r="L39" s="7"/>
      <c r="M39" s="6" t="s">
        <v>4</v>
      </c>
      <c r="N39" s="29" t="str">
        <f t="shared" si="0"/>
        <v>string</v>
      </c>
      <c r="O39" s="29" t="str">
        <f t="shared" si="1"/>
        <v/>
      </c>
      <c r="P39" s="29"/>
      <c r="Q39" s="19"/>
      <c r="R39" s="19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>
      <c r="A40" s="48"/>
      <c r="B40" s="48"/>
      <c r="C40" s="3" t="s">
        <v>1404</v>
      </c>
      <c r="D40" s="18" t="s">
        <v>1573</v>
      </c>
      <c r="E40" s="19"/>
      <c r="F40" s="15" t="s">
        <v>1574</v>
      </c>
      <c r="G40" s="15" t="s">
        <v>1575</v>
      </c>
      <c r="H40" s="12"/>
      <c r="I40" s="12"/>
      <c r="J40" s="12"/>
      <c r="K40" s="16"/>
      <c r="L40" s="7"/>
      <c r="M40" s="6" t="s">
        <v>1576</v>
      </c>
      <c r="N40" s="29" t="str">
        <f t="shared" si="0"/>
        <v>string</v>
      </c>
      <c r="O40" s="29" t="str">
        <f t="shared" si="1"/>
        <v>date</v>
      </c>
      <c r="P40" s="29"/>
      <c r="Q40" s="19"/>
      <c r="R40" s="19"/>
      <c r="S40" s="12"/>
      <c r="T40" s="12"/>
      <c r="U40" s="12" t="s">
        <v>1591</v>
      </c>
      <c r="V40" s="12" t="s">
        <v>1592</v>
      </c>
      <c r="W40" s="12"/>
      <c r="X40" s="12"/>
      <c r="Y40" s="12"/>
      <c r="Z40" s="12"/>
      <c r="AA40" s="12"/>
      <c r="AB40" s="12"/>
      <c r="AC40" s="12"/>
    </row>
    <row r="41" spans="1:29">
      <c r="A41" s="48"/>
      <c r="B41" s="48"/>
      <c r="C41" s="3" t="s">
        <v>1404</v>
      </c>
      <c r="D41" s="18" t="s">
        <v>1577</v>
      </c>
      <c r="E41" s="19"/>
      <c r="F41" s="15" t="s">
        <v>1578</v>
      </c>
      <c r="G41" s="15" t="s">
        <v>1579</v>
      </c>
      <c r="H41" s="12"/>
      <c r="I41" s="12"/>
      <c r="J41" s="12"/>
      <c r="K41" s="16"/>
      <c r="L41" s="7"/>
      <c r="M41" s="6" t="s">
        <v>4</v>
      </c>
      <c r="N41" s="29" t="str">
        <f t="shared" si="0"/>
        <v>string</v>
      </c>
      <c r="O41" s="29" t="str">
        <f t="shared" si="1"/>
        <v/>
      </c>
      <c r="P41" s="29"/>
      <c r="Q41" s="19"/>
      <c r="R41" s="19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>
      <c r="A42" s="48"/>
      <c r="B42" s="48"/>
      <c r="C42" s="3" t="s">
        <v>1404</v>
      </c>
      <c r="D42" s="18" t="s">
        <v>1580</v>
      </c>
      <c r="E42" s="19"/>
      <c r="F42" s="15" t="s">
        <v>1581</v>
      </c>
      <c r="G42" s="15" t="s">
        <v>1582</v>
      </c>
      <c r="H42" s="12"/>
      <c r="I42" s="12"/>
      <c r="J42" s="12"/>
      <c r="K42" s="16"/>
      <c r="L42" s="7"/>
      <c r="M42" s="6" t="s">
        <v>4</v>
      </c>
      <c r="N42" s="29" t="str">
        <f t="shared" si="0"/>
        <v>string</v>
      </c>
      <c r="O42" s="29" t="str">
        <f t="shared" si="1"/>
        <v/>
      </c>
      <c r="P42" s="29"/>
      <c r="Q42" s="19"/>
      <c r="R42" s="19"/>
      <c r="S42" s="12" t="s">
        <v>1593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>
      <c r="A43" s="48"/>
      <c r="B43" s="48"/>
      <c r="C43" s="3" t="s">
        <v>44</v>
      </c>
      <c r="D43" s="18"/>
      <c r="E43" s="19"/>
      <c r="F43" s="15"/>
      <c r="G43" s="15"/>
      <c r="H43" s="12"/>
      <c r="I43" s="12"/>
      <c r="J43" s="12"/>
      <c r="K43" s="16"/>
      <c r="L43" s="7"/>
      <c r="M43" s="6" t="s">
        <v>4</v>
      </c>
      <c r="N43" s="29" t="str">
        <f t="shared" si="0"/>
        <v>string</v>
      </c>
      <c r="O43" s="29" t="str">
        <f t="shared" si="1"/>
        <v/>
      </c>
      <c r="P43" s="29" t="str">
        <f t="shared" ref="P43" si="2">_xlfn.IFS(M43="textarea","textarea",TRUE,"")</f>
        <v/>
      </c>
      <c r="Q43" s="19"/>
      <c r="R43" s="19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>
      <c r="A44" s="52" t="s">
        <v>1379</v>
      </c>
      <c r="B44" s="48" t="s">
        <v>79</v>
      </c>
      <c r="C44" s="3" t="s">
        <v>1404</v>
      </c>
      <c r="D44" s="15" t="s">
        <v>34</v>
      </c>
      <c r="E44" s="19"/>
      <c r="F44" s="15" t="s">
        <v>1432</v>
      </c>
      <c r="G44" s="15" t="s">
        <v>1433</v>
      </c>
      <c r="H44" s="12"/>
      <c r="I44" s="12"/>
      <c r="J44" s="19"/>
      <c r="K44" s="16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>
      <c r="A45" s="53"/>
      <c r="B45" s="48"/>
      <c r="C45" s="3" t="s">
        <v>44</v>
      </c>
      <c r="D45" s="15" t="s">
        <v>35</v>
      </c>
      <c r="E45" s="19"/>
      <c r="F45" s="15" t="s">
        <v>1434</v>
      </c>
      <c r="G45" s="15" t="s">
        <v>1435</v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>
      <c r="A46" s="53"/>
      <c r="B46" s="48"/>
      <c r="C46" s="3" t="s">
        <v>44</v>
      </c>
      <c r="D46" s="15" t="s">
        <v>36</v>
      </c>
      <c r="E46" s="19"/>
      <c r="F46" s="15" t="s">
        <v>1436</v>
      </c>
      <c r="G46" s="15" t="s">
        <v>1437</v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>
      <c r="A47" s="53"/>
      <c r="B47" s="48"/>
      <c r="C47" s="3" t="s">
        <v>44</v>
      </c>
      <c r="D47" s="15" t="s">
        <v>37</v>
      </c>
      <c r="E47" s="19"/>
      <c r="F47" s="15" t="s">
        <v>1438</v>
      </c>
      <c r="G47" s="15" t="s">
        <v>1439</v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>
      <c r="A48" s="53"/>
      <c r="B48" s="48"/>
      <c r="C48" s="3" t="s">
        <v>44</v>
      </c>
      <c r="D48" s="15" t="s">
        <v>38</v>
      </c>
      <c r="E48" s="19"/>
      <c r="F48" s="15" t="s">
        <v>1440</v>
      </c>
      <c r="G48" s="15" t="s">
        <v>1441</v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spans="1:29">
      <c r="A49" s="53"/>
      <c r="B49" s="48"/>
      <c r="C49" s="3" t="s">
        <v>44</v>
      </c>
      <c r="D49" s="15" t="s">
        <v>39</v>
      </c>
      <c r="E49" s="19"/>
      <c r="F49" s="15" t="s">
        <v>1442</v>
      </c>
      <c r="G49" s="15" t="s">
        <v>1443</v>
      </c>
      <c r="H49" s="12"/>
      <c r="I49" s="12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>
      <c r="A50" s="54"/>
      <c r="B50" s="48"/>
      <c r="C50" s="3" t="s">
        <v>44</v>
      </c>
      <c r="D50" s="15" t="s">
        <v>16</v>
      </c>
      <c r="E50" s="19"/>
      <c r="F50" s="15" t="s">
        <v>1444</v>
      </c>
      <c r="G50" s="15" t="s">
        <v>1445</v>
      </c>
      <c r="H50" s="12"/>
      <c r="I50" s="12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spans="1:29">
      <c r="A51" s="52" t="s">
        <v>1380</v>
      </c>
      <c r="B51" s="48" t="s">
        <v>40</v>
      </c>
      <c r="C51" s="3" t="s">
        <v>1404</v>
      </c>
      <c r="D51" s="18" t="str">
        <f>IFERROR(INDEX(sample.general_sample_term!A:H,MATCH($E51,sample.general_sample_term!C:C,FALSE),2),"")</f>
        <v>sample.general.general-name</v>
      </c>
      <c r="E51" s="14" t="s">
        <v>1274</v>
      </c>
      <c r="F51" s="18" t="str">
        <f>IFERROR(INDEX(sample.general_sample_term!A:H,MATCH($E51,sample.general_sample_term!C:C,FALSE),3),"")</f>
        <v>一般名称</v>
      </c>
      <c r="G51" s="18" t="str">
        <f>IFERROR(INDEX(sample.general_sample_term!A:H,MATCH($E51,sample.general_sample_term!C:C,FALSE),4),"")</f>
        <v>General name</v>
      </c>
      <c r="H51" s="12"/>
      <c r="I51" s="12"/>
      <c r="J51" s="19"/>
      <c r="K51" s="17"/>
      <c r="L51" s="19"/>
      <c r="M51" s="19"/>
      <c r="N51" s="19"/>
      <c r="O51" s="19"/>
      <c r="P51" s="19"/>
      <c r="Q51" s="19"/>
      <c r="R51" s="19"/>
      <c r="S51" s="19"/>
      <c r="T51" s="19"/>
      <c r="U51" s="18" t="str">
        <f>IFERROR(INDEX(sample.general_sample_term!A:H,MATCH($E51,sample.general_sample_term!C:C,FALSE),5),"")</f>
        <v>一般名称を入力してください</v>
      </c>
      <c r="V51" s="18" t="str">
        <f>IFERROR(INDEX(sample.general_sample_term!A:H,MATCH($E51,sample.general_sample_term!C:C,FALSE),6),"")</f>
        <v>Please enter General name</v>
      </c>
      <c r="W51" s="19"/>
      <c r="X51" s="19"/>
      <c r="Y51" s="19"/>
      <c r="Z51" s="19"/>
      <c r="AA51" s="19"/>
      <c r="AB51" s="19"/>
      <c r="AC51" s="19"/>
    </row>
    <row r="52" spans="1:29">
      <c r="A52" s="53"/>
      <c r="B52" s="48"/>
      <c r="C52" s="3" t="s">
        <v>1404</v>
      </c>
      <c r="D52" s="18" t="str">
        <f>IFERROR(INDEX(sample.general_sample_term!A:H,MATCH($E52,sample.general_sample_term!C:C,FALSE),2),"")</f>
        <v>sample.general.cas-number</v>
      </c>
      <c r="E52" s="14" t="s">
        <v>1160</v>
      </c>
      <c r="F52" s="18" t="str">
        <f>IFERROR(INDEX(sample.general_sample_term!A:H,MATCH($E52,sample.general_sample_term!C:C,FALSE),3),"")</f>
        <v>CAS番号</v>
      </c>
      <c r="G52" s="18" t="str">
        <f>IFERROR(INDEX(sample.general_sample_term!A:H,MATCH($E52,sample.general_sample_term!C:C,FALSE),4),"")</f>
        <v>CAS Number</v>
      </c>
      <c r="H52" s="12"/>
      <c r="I52" s="12"/>
      <c r="J52" s="19"/>
      <c r="K52" s="17"/>
      <c r="L52" s="19"/>
      <c r="M52" s="19"/>
      <c r="N52" s="19"/>
      <c r="O52" s="19"/>
      <c r="P52" s="19"/>
      <c r="Q52" s="19"/>
      <c r="R52" s="19"/>
      <c r="S52" s="19"/>
      <c r="T52" s="19"/>
      <c r="U52" s="18" t="str">
        <f>IFERROR(INDEX(sample.general_sample_term!A:H,MATCH($E52,sample.general_sample_term!C:C,FALSE),5),"")</f>
        <v>CAS番号を入力してください</v>
      </c>
      <c r="V52" s="18" t="str">
        <f>IFERROR(INDEX(sample.general_sample_term!A:H,MATCH($E52,sample.general_sample_term!C:C,FALSE),6),"")</f>
        <v>Please enter CAS Number</v>
      </c>
      <c r="W52" s="19"/>
      <c r="X52" s="19"/>
      <c r="Y52" s="19"/>
      <c r="Z52" s="19"/>
      <c r="AA52" s="19"/>
      <c r="AB52" s="19"/>
      <c r="AC52" s="19"/>
    </row>
    <row r="53" spans="1:29">
      <c r="A53" s="53"/>
      <c r="B53" s="48"/>
      <c r="C53" s="3" t="s">
        <v>1404</v>
      </c>
      <c r="D53" s="18" t="str">
        <f>IFERROR(INDEX(sample.general_sample_term!A:H,MATCH($E53,sample.general_sample_term!C:C,FALSE),2),"")</f>
        <v>sample.general.crystal-structure</v>
      </c>
      <c r="E53" s="14" t="s">
        <v>1175</v>
      </c>
      <c r="F53" s="18" t="str">
        <f>IFERROR(INDEX(sample.general_sample_term!A:H,MATCH($E53,sample.general_sample_term!C:C,FALSE),3),"")</f>
        <v>結晶構造</v>
      </c>
      <c r="G53" s="18" t="str">
        <f>IFERROR(INDEX(sample.general_sample_term!A:H,MATCH($E53,sample.general_sample_term!C:C,FALSE),4),"")</f>
        <v>Crystal structure</v>
      </c>
      <c r="H53" s="12"/>
      <c r="I53" s="12"/>
      <c r="J53" s="19"/>
      <c r="K53" s="17"/>
      <c r="L53" s="19"/>
      <c r="M53" s="19"/>
      <c r="N53" s="19"/>
      <c r="O53" s="19"/>
      <c r="P53" s="19"/>
      <c r="Q53" s="19"/>
      <c r="R53" s="19"/>
      <c r="S53" s="19"/>
      <c r="T53" s="19"/>
      <c r="U53" s="18" t="str">
        <f>IFERROR(INDEX(sample.general_sample_term!A:H,MATCH($E53,sample.general_sample_term!C:C,FALSE),5),"")</f>
        <v>結晶構造を入力してください</v>
      </c>
      <c r="V53" s="18" t="str">
        <f>IFERROR(INDEX(sample.general_sample_term!A:H,MATCH($E53,sample.general_sample_term!C:C,FALSE),6),"")</f>
        <v>Please enter Crystal structure</v>
      </c>
      <c r="W53" s="19"/>
      <c r="X53" s="19"/>
      <c r="Y53" s="19"/>
      <c r="Z53" s="19"/>
      <c r="AA53" s="19"/>
      <c r="AB53" s="19"/>
      <c r="AC53" s="19"/>
    </row>
    <row r="54" spans="1:29">
      <c r="A54" s="53"/>
      <c r="B54" s="48"/>
      <c r="C54" s="3" t="s">
        <v>1404</v>
      </c>
      <c r="D54" s="18" t="str">
        <f>IFERROR(INDEX(sample.general_sample_term!A:H,MATCH($E54,sample.general_sample_term!C:C,FALSE),2),"")</f>
        <v>sample.general.sample-shape</v>
      </c>
      <c r="E54" s="14" t="s">
        <v>1191</v>
      </c>
      <c r="F54" s="18" t="str">
        <f>IFERROR(INDEX(sample.general_sample_term!A:H,MATCH($E54,sample.general_sample_term!C:C,FALSE),3),"")</f>
        <v>試料形状</v>
      </c>
      <c r="G54" s="18" t="str">
        <f>IFERROR(INDEX(sample.general_sample_term!A:H,MATCH($E54,sample.general_sample_term!C:C,FALSE),4),"")</f>
        <v>Sample shape</v>
      </c>
      <c r="H54" s="12"/>
      <c r="I54" s="12"/>
      <c r="J54" s="19"/>
      <c r="K54" s="17"/>
      <c r="L54" s="19"/>
      <c r="M54" s="19"/>
      <c r="N54" s="19"/>
      <c r="O54" s="19"/>
      <c r="P54" s="19"/>
      <c r="Q54" s="19"/>
      <c r="R54" s="19"/>
      <c r="S54" s="19"/>
      <c r="T54" s="19"/>
      <c r="U54" s="18" t="str">
        <f>IFERROR(INDEX(sample.general_sample_term!A:H,MATCH($E54,sample.general_sample_term!C:C,FALSE),5),"")</f>
        <v>試料形状を入力してください</v>
      </c>
      <c r="V54" s="18" t="str">
        <f>IFERROR(INDEX(sample.general_sample_term!A:H,MATCH($E54,sample.general_sample_term!C:C,FALSE),6),"")</f>
        <v>Please enter Sample shape</v>
      </c>
      <c r="W54" s="19"/>
      <c r="X54" s="19"/>
      <c r="Y54" s="19"/>
      <c r="Z54" s="19"/>
      <c r="AA54" s="19"/>
      <c r="AB54" s="19"/>
      <c r="AC54" s="19"/>
    </row>
    <row r="55" spans="1:29">
      <c r="A55" s="53"/>
      <c r="B55" s="48"/>
      <c r="C55" s="3" t="s">
        <v>1404</v>
      </c>
      <c r="D55" s="18" t="str">
        <f>IFERROR(INDEX(sample.general_sample_term!A:H,MATCH($E55,sample.general_sample_term!C:C,FALSE),2),"")</f>
        <v>sample.general.purchase-date</v>
      </c>
      <c r="E55" s="14" t="s">
        <v>1165</v>
      </c>
      <c r="F55" s="18" t="str">
        <f>IFERROR(INDEX(sample.general_sample_term!A:H,MATCH($E55,sample.general_sample_term!C:C,FALSE),3),"")</f>
        <v>試料購入日</v>
      </c>
      <c r="G55" s="18" t="str">
        <f>IFERROR(INDEX(sample.general_sample_term!A:H,MATCH($E55,sample.general_sample_term!C:C,FALSE),4),"")</f>
        <v>Purchase date</v>
      </c>
      <c r="H55" s="12"/>
      <c r="I55" s="12"/>
      <c r="J55" s="19"/>
      <c r="K55" s="17"/>
      <c r="L55" s="19"/>
      <c r="M55" s="19"/>
      <c r="N55" s="19"/>
      <c r="O55" s="19"/>
      <c r="P55" s="19"/>
      <c r="Q55" s="19"/>
      <c r="R55" s="19"/>
      <c r="S55" s="19"/>
      <c r="T55" s="19"/>
      <c r="U55" s="18" t="str">
        <f>IFERROR(INDEX(sample.general_sample_term!A:H,MATCH($E55,sample.general_sample_term!C:C,FALSE),5),"")</f>
        <v>試料購入日を入力してください</v>
      </c>
      <c r="V55" s="18" t="str">
        <f>IFERROR(INDEX(sample.general_sample_term!A:H,MATCH($E55,sample.general_sample_term!C:C,FALSE),6),"")</f>
        <v>Please enter Purchase date</v>
      </c>
      <c r="W55" s="19"/>
      <c r="X55" s="19"/>
      <c r="Y55" s="19"/>
      <c r="Z55" s="19"/>
      <c r="AA55" s="19"/>
      <c r="AB55" s="19"/>
      <c r="AC55" s="19"/>
    </row>
    <row r="56" spans="1:29">
      <c r="A56" s="53"/>
      <c r="B56" s="48"/>
      <c r="C56" s="3" t="s">
        <v>1404</v>
      </c>
      <c r="D56" s="18" t="str">
        <f>IFERROR(INDEX(sample.general_sample_term!A:H,MATCH($E56,sample.general_sample_term!C:C,FALSE),2),"")</f>
        <v>sample.general.supplier</v>
      </c>
      <c r="E56" s="14" t="s">
        <v>834</v>
      </c>
      <c r="F56" s="18" t="str">
        <f>IFERROR(INDEX(sample.general_sample_term!A:H,MATCH($E56,sample.general_sample_term!C:C,FALSE),3),"")</f>
        <v>購入元</v>
      </c>
      <c r="G56" s="18" t="str">
        <f>IFERROR(INDEX(sample.general_sample_term!A:H,MATCH($E56,sample.general_sample_term!C:C,FALSE),4),"")</f>
        <v>Supplier</v>
      </c>
      <c r="H56" s="12"/>
      <c r="I56" s="12"/>
      <c r="J56" s="19"/>
      <c r="K56" s="17"/>
      <c r="L56" s="19"/>
      <c r="M56" s="19"/>
      <c r="N56" s="19"/>
      <c r="O56" s="19"/>
      <c r="P56" s="19"/>
      <c r="Q56" s="19"/>
      <c r="R56" s="19"/>
      <c r="S56" s="19"/>
      <c r="T56" s="19"/>
      <c r="U56" s="18" t="str">
        <f>IFERROR(INDEX(sample.general_sample_term!A:H,MATCH($E56,sample.general_sample_term!C:C,FALSE),5),"")</f>
        <v/>
      </c>
      <c r="V56" s="18" t="str">
        <f>IFERROR(INDEX(sample.general_sample_term!A:H,MATCH($E56,sample.general_sample_term!C:C,FALSE),6),"")</f>
        <v/>
      </c>
      <c r="W56" s="19"/>
      <c r="X56" s="19"/>
      <c r="Y56" s="19"/>
      <c r="Z56" s="19"/>
      <c r="AA56" s="19"/>
      <c r="AB56" s="19"/>
      <c r="AC56" s="19"/>
    </row>
    <row r="57" spans="1:29">
      <c r="A57" s="53"/>
      <c r="B57" s="48"/>
      <c r="C57" s="3" t="s">
        <v>1404</v>
      </c>
      <c r="D57" s="18" t="str">
        <f>IFERROR(INDEX(sample.general_sample_term!A:H,MATCH($E57,sample.general_sample_term!C:C,FALSE),2),"")</f>
        <v>sample.general.lot-number-or-product-number-etc</v>
      </c>
      <c r="E57" s="14" t="s">
        <v>1156</v>
      </c>
      <c r="F57" s="18" t="str">
        <f>IFERROR(INDEX(sample.general_sample_term!A:H,MATCH($E57,sample.general_sample_term!C:C,FALSE),3),"")</f>
        <v>ロット番号、製造番号など</v>
      </c>
      <c r="G57" s="18" t="str">
        <f>IFERROR(INDEX(sample.general_sample_term!A:H,MATCH($E57,sample.general_sample_term!C:C,FALSE),4),"")</f>
        <v>Lot number or product number etc</v>
      </c>
      <c r="H57" s="12"/>
      <c r="I57" s="12"/>
      <c r="J57" s="19"/>
      <c r="K57" s="17"/>
      <c r="L57" s="19"/>
      <c r="M57" s="19"/>
      <c r="N57" s="19"/>
      <c r="O57" s="19"/>
      <c r="P57" s="19"/>
      <c r="Q57" s="19"/>
      <c r="R57" s="19"/>
      <c r="S57" s="19"/>
      <c r="T57" s="19"/>
      <c r="U57" s="18" t="str">
        <f>IFERROR(INDEX(sample.general_sample_term!A:H,MATCH($E57,sample.general_sample_term!C:C,FALSE),5),"")</f>
        <v/>
      </c>
      <c r="V57" s="18" t="str">
        <f>IFERROR(INDEX(sample.general_sample_term!A:H,MATCH($E57,sample.general_sample_term!C:C,FALSE),6),"")</f>
        <v/>
      </c>
      <c r="W57" s="19"/>
      <c r="X57" s="19"/>
      <c r="Y57" s="19"/>
      <c r="Z57" s="19"/>
      <c r="AA57" s="19"/>
      <c r="AB57" s="19"/>
      <c r="AC57" s="19"/>
    </row>
    <row r="58" spans="1:29">
      <c r="A58" s="53"/>
      <c r="B58" s="48"/>
      <c r="C58" s="3" t="s">
        <v>44</v>
      </c>
      <c r="D58" s="18" t="str">
        <f>IFERROR(INDEX(sample.general_sample_term!A:H,MATCH($E58,sample.general_sample_term!C:C,FALSE),2),"")</f>
        <v/>
      </c>
      <c r="E58" s="14"/>
      <c r="F58" s="18" t="str">
        <f>IFERROR(INDEX(sample.general_sample_term!A:H,MATCH($E58,sample.general_sample_term!C:C,FALSE),3),"")</f>
        <v/>
      </c>
      <c r="G58" s="18" t="str">
        <f>IFERROR(INDEX(sample.general_sample_term!A:H,MATCH($E58,sample.general_sample_term!C:C,FALSE),4),"")</f>
        <v/>
      </c>
      <c r="H58" s="12"/>
      <c r="I58" s="12"/>
      <c r="J58" s="19"/>
      <c r="K58" s="17"/>
      <c r="L58" s="19"/>
      <c r="M58" s="19"/>
      <c r="N58" s="19"/>
      <c r="O58" s="19"/>
      <c r="P58" s="19"/>
      <c r="Q58" s="19"/>
      <c r="R58" s="19"/>
      <c r="S58" s="19"/>
      <c r="T58" s="19"/>
      <c r="U58" s="18" t="str">
        <f>IFERROR(INDEX(sample.general_sample_term!A:H,MATCH($E58,sample.general_sample_term!C:C,FALSE),5),"")</f>
        <v/>
      </c>
      <c r="V58" s="18" t="str">
        <f>IFERROR(INDEX(sample.general_sample_term!A:H,MATCH($E58,sample.general_sample_term!C:C,FALSE),6),"")</f>
        <v/>
      </c>
      <c r="W58" s="19"/>
      <c r="X58" s="19"/>
      <c r="Y58" s="19"/>
      <c r="Z58" s="19"/>
      <c r="AA58" s="19"/>
      <c r="AB58" s="19"/>
      <c r="AC58" s="19"/>
    </row>
    <row r="59" spans="1:29">
      <c r="A59" s="54"/>
      <c r="B59" s="48"/>
      <c r="C59" s="3" t="s">
        <v>44</v>
      </c>
      <c r="D59" s="18" t="str">
        <f>IFERROR(INDEX(sample.general_sample_term!A:H,MATCH($E59,sample.general_sample_term!C:C,FALSE),2),"")</f>
        <v/>
      </c>
      <c r="E59" s="14"/>
      <c r="F59" s="18" t="str">
        <f>IFERROR(INDEX(sample.general_sample_term!A:H,MATCH($E59,sample.general_sample_term!C:C,FALSE),3),"")</f>
        <v/>
      </c>
      <c r="G59" s="18" t="str">
        <f>IFERROR(INDEX(sample.general_sample_term!A:H,MATCH($E59,sample.general_sample_term!C:C,FALSE),4),"")</f>
        <v/>
      </c>
      <c r="H59" s="12"/>
      <c r="I59" s="12"/>
      <c r="J59" s="19"/>
      <c r="K59" s="17"/>
      <c r="L59" s="19"/>
      <c r="M59" s="19"/>
      <c r="N59" s="19"/>
      <c r="O59" s="19"/>
      <c r="P59" s="19"/>
      <c r="Q59" s="19"/>
      <c r="R59" s="19"/>
      <c r="S59" s="19"/>
      <c r="T59" s="19"/>
      <c r="U59" s="18" t="str">
        <f>IFERROR(INDEX(sample.general_sample_term!A:H,MATCH($E59,sample.general_sample_term!C:C,FALSE),5),"")</f>
        <v/>
      </c>
      <c r="V59" s="18" t="str">
        <f>IFERROR(INDEX(sample.general_sample_term!A:H,MATCH($E59,sample.general_sample_term!C:C,FALSE),6),"")</f>
        <v/>
      </c>
      <c r="W59" s="19"/>
      <c r="X59" s="19"/>
      <c r="Y59" s="19"/>
      <c r="Z59" s="19"/>
      <c r="AA59" s="19"/>
      <c r="AB59" s="19"/>
      <c r="AC59" s="19"/>
    </row>
    <row r="60" spans="1:29">
      <c r="A60" s="52" t="s">
        <v>1381</v>
      </c>
      <c r="B60" s="48" t="s">
        <v>41</v>
      </c>
      <c r="C60" s="3" t="s">
        <v>44</v>
      </c>
      <c r="D60" s="18" t="str">
        <f>IFERROR(INDEX(sample.specific_sample_term!A:M,MATCH($E60,sample.specific_sample_term!L:L,FALSE),3),"")</f>
        <v/>
      </c>
      <c r="E60" s="14"/>
      <c r="F60" s="18" t="str">
        <f>IFERROR(INDEX(sample.specific_sample_term!A:M,MATCH($E60,sample.specific_sample_term!L:L,FALSE),12),"")</f>
        <v/>
      </c>
      <c r="G60" s="18" t="str">
        <f>IFERROR(INDEX(sample.specific_sample_term!A:M,MATCH($E60,sample.specific_sample_term!L:L,FALSE),13),"")</f>
        <v/>
      </c>
      <c r="H60" s="12"/>
      <c r="I60" s="12"/>
      <c r="J60" s="19"/>
      <c r="K60" s="17"/>
      <c r="L60" s="19"/>
      <c r="M60" s="19"/>
      <c r="N60" s="19"/>
      <c r="O60" s="19"/>
      <c r="P60" s="19"/>
      <c r="Q60" s="19"/>
      <c r="R60" s="19"/>
      <c r="S60" s="19"/>
      <c r="T60" s="19"/>
      <c r="U60" s="18" t="str">
        <f>IFERROR(INDEX(sample.specific_sample_term!A:M,MATCH($E60,sample.specific_sample_term!L:L,FALSE),8),"")</f>
        <v/>
      </c>
      <c r="V60" s="18" t="str">
        <f>IFERROR(INDEX(sample.specific_sample_term!A:M,MATCH($E60,sample.specific_sample_term!L:L,FALSE),9),"")</f>
        <v/>
      </c>
      <c r="W60" s="19"/>
      <c r="X60" s="19"/>
      <c r="Y60" s="19"/>
      <c r="Z60" s="19"/>
      <c r="AA60" s="19"/>
      <c r="AB60" s="19"/>
      <c r="AC60" s="19"/>
    </row>
    <row r="61" spans="1:29">
      <c r="A61" s="53"/>
      <c r="B61" s="48"/>
      <c r="C61" s="3" t="s">
        <v>44</v>
      </c>
      <c r="D61" s="18" t="str">
        <f>IFERROR(INDEX(sample.specific_sample_term!A:M,MATCH($E61,sample.specific_sample_term!L:L,FALSE),3),"")</f>
        <v/>
      </c>
      <c r="E61" s="14"/>
      <c r="F61" s="18" t="str">
        <f>IFERROR(INDEX(sample.specific_sample_term!A:M,MATCH($E61,sample.specific_sample_term!L:L,FALSE),12),"")</f>
        <v/>
      </c>
      <c r="G61" s="18" t="str">
        <f>IFERROR(INDEX(sample.specific_sample_term!A:M,MATCH($E61,sample.specific_sample_term!L:L,FALSE),13),"")</f>
        <v/>
      </c>
      <c r="H61" s="12"/>
      <c r="I61" s="12"/>
      <c r="J61" s="19"/>
      <c r="K61" s="17"/>
      <c r="L61" s="19"/>
      <c r="M61" s="19"/>
      <c r="N61" s="19"/>
      <c r="O61" s="19"/>
      <c r="P61" s="19"/>
      <c r="Q61" s="19"/>
      <c r="R61" s="19"/>
      <c r="S61" s="19"/>
      <c r="T61" s="19"/>
      <c r="U61" s="18" t="str">
        <f>IFERROR(INDEX(sample.specific_sample_term!A:M,MATCH($E61,sample.specific_sample_term!L:L,FALSE),8),"")</f>
        <v/>
      </c>
      <c r="V61" s="18" t="str">
        <f>IFERROR(INDEX(sample.specific_sample_term!A:M,MATCH($E61,sample.specific_sample_term!L:L,FALSE),9),"")</f>
        <v/>
      </c>
      <c r="W61" s="19"/>
      <c r="X61" s="19"/>
      <c r="Y61" s="19"/>
      <c r="Z61" s="19"/>
      <c r="AA61" s="19"/>
      <c r="AB61" s="19"/>
      <c r="AC61" s="19"/>
    </row>
    <row r="62" spans="1:29">
      <c r="A62" s="53"/>
      <c r="B62" s="48"/>
      <c r="C62" s="3" t="s">
        <v>44</v>
      </c>
      <c r="D62" s="18" t="str">
        <f>IFERROR(INDEX(sample.specific_sample_term!A:M,MATCH($E62,sample.specific_sample_term!L:L,FALSE),3),"")</f>
        <v/>
      </c>
      <c r="E62" s="14"/>
      <c r="F62" s="18" t="str">
        <f>IFERROR(INDEX(sample.specific_sample_term!A:M,MATCH($E62,sample.specific_sample_term!L:L,FALSE),12),"")</f>
        <v/>
      </c>
      <c r="G62" s="18" t="str">
        <f>IFERROR(INDEX(sample.specific_sample_term!A:M,MATCH($E62,sample.specific_sample_term!L:L,FALSE),13),"")</f>
        <v/>
      </c>
      <c r="H62" s="12"/>
      <c r="I62" s="12"/>
      <c r="J62" s="19"/>
      <c r="K62" s="17"/>
      <c r="L62" s="19"/>
      <c r="M62" s="19"/>
      <c r="N62" s="19"/>
      <c r="O62" s="19"/>
      <c r="P62" s="19"/>
      <c r="Q62" s="19"/>
      <c r="R62" s="19"/>
      <c r="S62" s="19"/>
      <c r="T62" s="19"/>
      <c r="U62" s="18" t="str">
        <f>IFERROR(INDEX(sample.specific_sample_term!A:M,MATCH($E62,sample.specific_sample_term!L:L,FALSE),8),"")</f>
        <v/>
      </c>
      <c r="V62" s="18" t="str">
        <f>IFERROR(INDEX(sample.specific_sample_term!A:M,MATCH($E62,sample.specific_sample_term!L:L,FALSE),9),"")</f>
        <v/>
      </c>
      <c r="W62" s="19"/>
      <c r="X62" s="19"/>
      <c r="Y62" s="19"/>
      <c r="Z62" s="19"/>
      <c r="AA62" s="19"/>
      <c r="AB62" s="19"/>
      <c r="AC62" s="19"/>
    </row>
    <row r="63" spans="1:29">
      <c r="A63" s="53"/>
      <c r="B63" s="48"/>
      <c r="C63" s="3" t="s">
        <v>44</v>
      </c>
      <c r="D63" s="18" t="str">
        <f>IFERROR(INDEX(sample.specific_sample_term!A:M,MATCH($E63,sample.specific_sample_term!L:L,FALSE),3),"")</f>
        <v/>
      </c>
      <c r="E63" s="14"/>
      <c r="F63" s="18" t="str">
        <f>IFERROR(INDEX(sample.specific_sample_term!A:M,MATCH($E63,sample.specific_sample_term!L:L,FALSE),12),"")</f>
        <v/>
      </c>
      <c r="G63" s="18" t="str">
        <f>IFERROR(INDEX(sample.specific_sample_term!A:M,MATCH($E63,sample.specific_sample_term!L:L,FALSE),13),"")</f>
        <v/>
      </c>
      <c r="H63" s="12"/>
      <c r="I63" s="12"/>
      <c r="J63" s="19"/>
      <c r="K63" s="17"/>
      <c r="L63" s="19"/>
      <c r="M63" s="19"/>
      <c r="N63" s="19"/>
      <c r="O63" s="19"/>
      <c r="P63" s="19"/>
      <c r="Q63" s="19"/>
      <c r="R63" s="19"/>
      <c r="S63" s="19"/>
      <c r="T63" s="19"/>
      <c r="U63" s="18" t="str">
        <f>IFERROR(INDEX(sample.specific_sample_term!A:M,MATCH($E63,sample.specific_sample_term!L:L,FALSE),8),"")</f>
        <v/>
      </c>
      <c r="V63" s="18" t="str">
        <f>IFERROR(INDEX(sample.specific_sample_term!A:M,MATCH($E63,sample.specific_sample_term!L:L,FALSE),9),"")</f>
        <v/>
      </c>
      <c r="W63" s="19"/>
      <c r="X63" s="19"/>
      <c r="Y63" s="19"/>
      <c r="Z63" s="19"/>
      <c r="AA63" s="19"/>
      <c r="AB63" s="19"/>
      <c r="AC63" s="19"/>
    </row>
    <row r="64" spans="1:29">
      <c r="A64" s="53"/>
      <c r="B64" s="48"/>
      <c r="C64" s="3" t="s">
        <v>44</v>
      </c>
      <c r="D64" s="18" t="str">
        <f>IFERROR(INDEX(sample.specific_sample_term!A:M,MATCH($E64,sample.specific_sample_term!L:L,FALSE),3),"")</f>
        <v/>
      </c>
      <c r="E64" s="14"/>
      <c r="F64" s="18" t="str">
        <f>IFERROR(INDEX(sample.specific_sample_term!A:M,MATCH($E64,sample.specific_sample_term!L:L,FALSE),12),"")</f>
        <v/>
      </c>
      <c r="G64" s="18" t="str">
        <f>IFERROR(INDEX(sample.specific_sample_term!A:M,MATCH($E64,sample.specific_sample_term!L:L,FALSE),13),"")</f>
        <v/>
      </c>
      <c r="H64" s="12"/>
      <c r="I64" s="12"/>
      <c r="J64" s="19"/>
      <c r="K64" s="17"/>
      <c r="L64" s="19"/>
      <c r="M64" s="19"/>
      <c r="N64" s="19"/>
      <c r="O64" s="19"/>
      <c r="P64" s="19"/>
      <c r="Q64" s="19"/>
      <c r="R64" s="19"/>
      <c r="S64" s="19"/>
      <c r="T64" s="19"/>
      <c r="U64" s="18" t="str">
        <f>IFERROR(INDEX(sample.specific_sample_term!A:M,MATCH($E64,sample.specific_sample_term!L:L,FALSE),8),"")</f>
        <v/>
      </c>
      <c r="V64" s="18" t="str">
        <f>IFERROR(INDEX(sample.specific_sample_term!A:M,MATCH($E64,sample.specific_sample_term!L:L,FALSE),9),"")</f>
        <v/>
      </c>
      <c r="W64" s="19"/>
      <c r="X64" s="19"/>
      <c r="Y64" s="19"/>
      <c r="Z64" s="19"/>
      <c r="AA64" s="19"/>
      <c r="AB64" s="19"/>
      <c r="AC64" s="19"/>
    </row>
    <row r="65" spans="1:29">
      <c r="A65" s="53"/>
      <c r="B65" s="48"/>
      <c r="C65" s="3" t="s">
        <v>44</v>
      </c>
      <c r="D65" s="18" t="str">
        <f>IFERROR(INDEX(sample.specific_sample_term!A:M,MATCH($E65,sample.specific_sample_term!L:L,FALSE),3),"")</f>
        <v/>
      </c>
      <c r="E65" s="14"/>
      <c r="F65" s="18" t="str">
        <f>IFERROR(INDEX(sample.specific_sample_term!A:M,MATCH($E65,sample.specific_sample_term!L:L,FALSE),12),"")</f>
        <v/>
      </c>
      <c r="G65" s="18" t="str">
        <f>IFERROR(INDEX(sample.specific_sample_term!A:M,MATCH($E65,sample.specific_sample_term!L:L,FALSE),13),"")</f>
        <v/>
      </c>
      <c r="H65" s="12"/>
      <c r="I65" s="12"/>
      <c r="J65" s="19"/>
      <c r="K65" s="17"/>
      <c r="L65" s="19"/>
      <c r="M65" s="19"/>
      <c r="N65" s="19"/>
      <c r="O65" s="19"/>
      <c r="P65" s="19"/>
      <c r="Q65" s="19"/>
      <c r="R65" s="19"/>
      <c r="S65" s="19"/>
      <c r="T65" s="19"/>
      <c r="U65" s="18" t="str">
        <f>IFERROR(INDEX(sample.specific_sample_term!A:M,MATCH($E65,sample.specific_sample_term!L:L,FALSE),8),"")</f>
        <v/>
      </c>
      <c r="V65" s="18" t="str">
        <f>IFERROR(INDEX(sample.specific_sample_term!A:M,MATCH($E65,sample.specific_sample_term!L:L,FALSE),9),"")</f>
        <v/>
      </c>
      <c r="W65" s="19"/>
      <c r="X65" s="19"/>
      <c r="Y65" s="19"/>
      <c r="Z65" s="19"/>
      <c r="AA65" s="19"/>
      <c r="AB65" s="19"/>
      <c r="AC65" s="19"/>
    </row>
    <row r="66" spans="1:29">
      <c r="A66" s="53"/>
      <c r="B66" s="48"/>
      <c r="C66" s="3" t="s">
        <v>44</v>
      </c>
      <c r="D66" s="18" t="str">
        <f>IFERROR(INDEX(sample.specific_sample_term!A:M,MATCH($E66,sample.specific_sample_term!L:L,FALSE),3),"")</f>
        <v/>
      </c>
      <c r="E66" s="14"/>
      <c r="F66" s="18" t="str">
        <f>IFERROR(INDEX(sample.specific_sample_term!A:M,MATCH($E66,sample.specific_sample_term!L:L,FALSE),12),"")</f>
        <v/>
      </c>
      <c r="G66" s="18" t="str">
        <f>IFERROR(INDEX(sample.specific_sample_term!A:M,MATCH($E66,sample.specific_sample_term!L:L,FALSE),13),"")</f>
        <v/>
      </c>
      <c r="H66" s="12"/>
      <c r="I66" s="12"/>
      <c r="J66" s="19"/>
      <c r="K66" s="17"/>
      <c r="L66" s="19"/>
      <c r="M66" s="19"/>
      <c r="N66" s="19"/>
      <c r="O66" s="19"/>
      <c r="P66" s="19"/>
      <c r="Q66" s="19"/>
      <c r="R66" s="19"/>
      <c r="S66" s="19"/>
      <c r="T66" s="19"/>
      <c r="U66" s="18" t="str">
        <f>IFERROR(INDEX(sample.specific_sample_term!A:M,MATCH($E66,sample.specific_sample_term!L:L,FALSE),8),"")</f>
        <v/>
      </c>
      <c r="V66" s="18" t="str">
        <f>IFERROR(INDEX(sample.specific_sample_term!A:M,MATCH($E66,sample.specific_sample_term!L:L,FALSE),9),"")</f>
        <v/>
      </c>
      <c r="W66" s="19"/>
      <c r="X66" s="19"/>
      <c r="Y66" s="19"/>
      <c r="Z66" s="19"/>
      <c r="AA66" s="19"/>
      <c r="AB66" s="19"/>
      <c r="AC66" s="19"/>
    </row>
    <row r="67" spans="1:29">
      <c r="A67" s="53"/>
      <c r="B67" s="48"/>
      <c r="C67" s="3" t="s">
        <v>44</v>
      </c>
      <c r="D67" s="18" t="str">
        <f>IFERROR(INDEX(sample.specific_sample_term!A:M,MATCH($E67,sample.specific_sample_term!L:L,FALSE),3),"")</f>
        <v/>
      </c>
      <c r="E67" s="14"/>
      <c r="F67" s="18" t="str">
        <f>IFERROR(INDEX(sample.specific_sample_term!A:M,MATCH($E67,sample.specific_sample_term!L:L,FALSE),12),"")</f>
        <v/>
      </c>
      <c r="G67" s="18" t="str">
        <f>IFERROR(INDEX(sample.specific_sample_term!A:M,MATCH($E67,sample.specific_sample_term!L:L,FALSE),13),"")</f>
        <v/>
      </c>
      <c r="H67" s="12"/>
      <c r="I67" s="12"/>
      <c r="J67" s="19"/>
      <c r="K67" s="17"/>
      <c r="L67" s="19"/>
      <c r="M67" s="19"/>
      <c r="N67" s="19"/>
      <c r="O67" s="19"/>
      <c r="P67" s="19"/>
      <c r="Q67" s="19"/>
      <c r="R67" s="19"/>
      <c r="S67" s="19"/>
      <c r="T67" s="19"/>
      <c r="U67" s="18" t="str">
        <f>IFERROR(INDEX(sample.specific_sample_term!A:M,MATCH($E67,sample.specific_sample_term!L:L,FALSE),8),"")</f>
        <v/>
      </c>
      <c r="V67" s="18" t="str">
        <f>IFERROR(INDEX(sample.specific_sample_term!A:M,MATCH($E67,sample.specific_sample_term!L:L,FALSE),9),"")</f>
        <v/>
      </c>
      <c r="W67" s="19"/>
      <c r="X67" s="19"/>
      <c r="Y67" s="19"/>
      <c r="Z67" s="19"/>
      <c r="AA67" s="19"/>
      <c r="AB67" s="19"/>
      <c r="AC67" s="19"/>
    </row>
    <row r="68" spans="1:29">
      <c r="A68" s="54"/>
      <c r="B68" s="48"/>
      <c r="C68" s="3" t="s">
        <v>44</v>
      </c>
      <c r="D68" s="18" t="str">
        <f>IFERROR(INDEX(sample.specific_sample_term!A:M,MATCH($E68,sample.specific_sample_term!L:L,FALSE),3),"")</f>
        <v/>
      </c>
      <c r="E68" s="14"/>
      <c r="F68" s="18" t="str">
        <f>IFERROR(INDEX(sample.specific_sample_term!A:M,MATCH($E68,sample.specific_sample_term!L:L,FALSE),12),"")</f>
        <v/>
      </c>
      <c r="G68" s="18" t="str">
        <f>IFERROR(INDEX(sample.specific_sample_term!A:M,MATCH($E68,sample.specific_sample_term!L:L,FALSE),13),"")</f>
        <v/>
      </c>
      <c r="H68" s="12"/>
      <c r="I68" s="12"/>
      <c r="J68" s="19"/>
      <c r="K68" s="17"/>
      <c r="L68" s="19"/>
      <c r="M68" s="19"/>
      <c r="N68" s="19"/>
      <c r="O68" s="19"/>
      <c r="P68" s="19"/>
      <c r="Q68" s="19"/>
      <c r="R68" s="19"/>
      <c r="S68" s="19"/>
      <c r="T68" s="19"/>
      <c r="U68" s="18" t="str">
        <f>IFERROR(INDEX(sample.specific_sample_term!A:M,MATCH($E68,sample.specific_sample_term!L:L,FALSE),8),"")</f>
        <v/>
      </c>
      <c r="V68" s="18" t="str">
        <f>IFERROR(INDEX(sample.specific_sample_term!A:M,MATCH($E68,sample.specific_sample_term!L:L,FALSE),9),"")</f>
        <v/>
      </c>
      <c r="W68" s="19"/>
      <c r="X68" s="19"/>
      <c r="Y68" s="19"/>
      <c r="Z68" s="19"/>
      <c r="AA68" s="19"/>
      <c r="AB68" s="19"/>
      <c r="AC68" s="19"/>
    </row>
  </sheetData>
  <mergeCells count="11">
    <mergeCell ref="B60:B68"/>
    <mergeCell ref="B7:B43"/>
    <mergeCell ref="A44:A50"/>
    <mergeCell ref="A51:A59"/>
    <mergeCell ref="A60:A68"/>
    <mergeCell ref="B1:E1"/>
    <mergeCell ref="B3:E3"/>
    <mergeCell ref="A7:A43"/>
    <mergeCell ref="B51:B59"/>
    <mergeCell ref="B44:B50"/>
    <mergeCell ref="B2:E2"/>
  </mergeCells>
  <phoneticPr fontId="2"/>
  <conditionalFormatting sqref="B1:E1">
    <cfRule type="expression" dxfId="21" priority="1" stopIfTrue="1">
      <formula>ISBLANK(B1)</formula>
    </cfRule>
  </conditionalFormatting>
  <conditionalFormatting sqref="C7:C68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E51:E68">
    <cfRule type="expression" dxfId="18" priority="17">
      <formula>AND($C51="ON",ISBLANK(E51))</formula>
    </cfRule>
  </conditionalFormatting>
  <conditionalFormatting sqref="M7:M43 F7:G50 D44:D50">
    <cfRule type="expression" dxfId="17" priority="3">
      <formula>AND($C7="ON",ISBLANK(D7))</formula>
    </cfRule>
  </conditionalFormatting>
  <conditionalFormatting sqref="N7:O43">
    <cfRule type="cellIs" dxfId="16" priority="16" operator="equal">
      <formula>"ON"</formula>
    </cfRule>
  </conditionalFormatting>
  <conditionalFormatting sqref="Q7:Q43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43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43" xr:uid="{2D4AA448-C361-40D4-AD5E-FB8A11DF009A}">
      <formula1>"　,TRUE"</formula1>
    </dataValidation>
    <dataValidation type="list" allowBlank="1" showInputMessage="1" showErrorMessage="1" sqref="M7:M43" xr:uid="{5FE6F0C0-307E-46F0-BDAA-579DADBA61A0}">
      <formula1>"string,textarea,number,integer,list,date,markdown,time,boolean,uri,uuid"</formula1>
    </dataValidation>
    <dataValidation type="list" allowBlank="1" showInputMessage="1" showErrorMessage="1" sqref="C7:C68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E51:E59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E60:E68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https://rde.nims.go.jp/rde/dataset-templates/RDEDatasetTemplateSheet_RDE_ELECTRON_MICROSCOPE_STANDARD_TemDM3/catalog.schema.json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標準データセットテンプレートRDE_ELECTRON_MICROSCOPE_STANDARDのTemDm3用RDEデータセットテンプレート: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RDEDatasetTemplateSheet_RDE_ELECTRON_MICROSCOPE_STANDARD_TemDM3:データカタログ定義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RDEDatasetTemplateSheet_RDE_ELECTRON_MICROSCOPE_STANDARD_TemDM3:data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1395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1399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1398</v>
      </c>
      <c r="H8" s="2" t="s">
        <v>1400</v>
      </c>
      <c r="I8" s="2" t="s">
        <v>1397</v>
      </c>
      <c r="J8" s="2" t="s">
        <v>1401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1430</v>
      </c>
      <c r="B9" s="3" t="s">
        <v>1404</v>
      </c>
      <c r="C9" s="10" t="s">
        <v>1405</v>
      </c>
      <c r="D9" s="10" t="s">
        <v>1406</v>
      </c>
      <c r="E9" s="10" t="s">
        <v>1407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1404</v>
      </c>
      <c r="C10" s="10" t="s">
        <v>1408</v>
      </c>
      <c r="D10" s="10" t="s">
        <v>1409</v>
      </c>
      <c r="E10" s="10" t="s">
        <v>1410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1404</v>
      </c>
      <c r="C11" s="10" t="s">
        <v>1412</v>
      </c>
      <c r="D11" s="10" t="s">
        <v>1411</v>
      </c>
      <c r="E11" s="10" t="s">
        <v>1413</v>
      </c>
      <c r="F11" s="7" t="s">
        <v>56</v>
      </c>
      <c r="G11" s="6" t="s">
        <v>1428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1404</v>
      </c>
      <c r="C12" s="10" t="s">
        <v>1414</v>
      </c>
      <c r="D12" s="10" t="s">
        <v>1415</v>
      </c>
      <c r="E12" s="10" t="s">
        <v>1416</v>
      </c>
      <c r="F12" s="7" t="s">
        <v>56</v>
      </c>
      <c r="G12" s="6" t="s">
        <v>1428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1404</v>
      </c>
      <c r="C13" s="10" t="s">
        <v>1417</v>
      </c>
      <c r="D13" s="10" t="s">
        <v>1418</v>
      </c>
      <c r="E13" s="10" t="s">
        <v>1419</v>
      </c>
      <c r="F13" s="7" t="s">
        <v>56</v>
      </c>
      <c r="G13" s="6" t="s">
        <v>1428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1404</v>
      </c>
      <c r="C14" s="10" t="s">
        <v>1420</v>
      </c>
      <c r="D14" s="10" t="s">
        <v>1421</v>
      </c>
      <c r="E14" s="10" t="s">
        <v>1422</v>
      </c>
      <c r="F14" s="7" t="s">
        <v>56</v>
      </c>
      <c r="G14" s="6" t="s">
        <v>1428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1420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1404</v>
      </c>
      <c r="C15" s="10" t="s">
        <v>1423</v>
      </c>
      <c r="D15" s="10" t="s">
        <v>1424</v>
      </c>
      <c r="E15" s="10" t="s">
        <v>1425</v>
      </c>
      <c r="F15" s="7" t="s">
        <v>56</v>
      </c>
      <c r="G15" s="6" t="s">
        <v>1428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1423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1404</v>
      </c>
      <c r="C16" s="10" t="s">
        <v>1450</v>
      </c>
      <c r="D16" s="10" t="s">
        <v>1426</v>
      </c>
      <c r="E16" s="10" t="s">
        <v>1427</v>
      </c>
      <c r="F16" s="7" t="s">
        <v>56</v>
      </c>
      <c r="G16" s="6" t="s">
        <v>1428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2026-01-06T00:54:28Z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